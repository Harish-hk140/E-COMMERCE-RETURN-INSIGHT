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.Harish kumar\Downloads\"/>
    </mc:Choice>
  </mc:AlternateContent>
  <xr:revisionPtr revIDLastSave="0" documentId="13_ncr:1_{DDA26B72-9355-4D21-A255-F2F3A2B7768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Pivot Chart" sheetId="2" r:id="rId2"/>
    <sheet name="Cleaned Data" sheetId="3" r:id="rId3"/>
    <sheet name="Model Metrics" sheetId="4" r:id="rId4"/>
    <sheet name="Category Analysis" sheetId="5" r:id="rId5"/>
    <sheet name="Return Reasons" sheetId="6" r:id="rId6"/>
    <sheet name="Discount Analysis" sheetId="7" r:id="rId7"/>
    <sheet name="Delivery Analysis" sheetId="8" r:id="rId8"/>
    <sheet name="Seller Analysis" sheetId="9" r:id="rId9"/>
  </sheets>
  <definedNames>
    <definedName name="_xlnm._FilterDatabase" localSheetId="4" hidden="1">'Category Analysis'!$A$1:$D$5</definedName>
    <definedName name="_xlnm._FilterDatabase" localSheetId="7" hidden="1">'Delivery Analysis'!$A$1:$B$3</definedName>
    <definedName name="_xlnm._FilterDatabase" localSheetId="6" hidden="1">'Discount Analysis'!$A$1:$B$3</definedName>
    <definedName name="_xlnm._FilterDatabase" localSheetId="5" hidden="1">'Return Reasons'!$A$1:$B$6</definedName>
    <definedName name="_xlnm._FilterDatabase" localSheetId="8" hidden="1">'Seller Analysis'!$A$1:$D$4</definedName>
  </definedNames>
  <calcPr calcId="191029"/>
  <pivotCaches>
    <pivotCache cacheId="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F6" i="1"/>
  <c r="J6" i="1"/>
</calcChain>
</file>

<file path=xl/sharedStrings.xml><?xml version="1.0" encoding="utf-8"?>
<sst xmlns="http://schemas.openxmlformats.org/spreadsheetml/2006/main" count="763" uniqueCount="73">
  <si>
    <t>Row Labels</t>
  </si>
  <si>
    <t>Count of order_id</t>
  </si>
  <si>
    <t>Sum of returned</t>
  </si>
  <si>
    <t>Beauty</t>
  </si>
  <si>
    <t>Electronics</t>
  </si>
  <si>
    <t>Fashion</t>
  </si>
  <si>
    <t>Home</t>
  </si>
  <si>
    <t>Grand Total</t>
  </si>
  <si>
    <t>E-commerce return insight</t>
  </si>
  <si>
    <t>TOTAL ORDERS</t>
  </si>
  <si>
    <t>RETURNED ORDERS</t>
  </si>
  <si>
    <t>RETURN RATE</t>
  </si>
  <si>
    <t>order_id</t>
  </si>
  <si>
    <t>product_id</t>
  </si>
  <si>
    <t>customer_id</t>
  </si>
  <si>
    <t>quantity</t>
  </si>
  <si>
    <t>price</t>
  </si>
  <si>
    <t>discount</t>
  </si>
  <si>
    <t>category</t>
  </si>
  <si>
    <t>brand</t>
  </si>
  <si>
    <t>size</t>
  </si>
  <si>
    <t>seller</t>
  </si>
  <si>
    <t>region</t>
  </si>
  <si>
    <t>order_history</t>
  </si>
  <si>
    <t>promised_days</t>
  </si>
  <si>
    <t>delivered_days</t>
  </si>
  <si>
    <t>courier</t>
  </si>
  <si>
    <t>returned</t>
  </si>
  <si>
    <t>reason</t>
  </si>
  <si>
    <t>delivery_delay</t>
  </si>
  <si>
    <t>order_value</t>
  </si>
  <si>
    <t>Brand7</t>
  </si>
  <si>
    <t>M</t>
  </si>
  <si>
    <t>Seller C</t>
  </si>
  <si>
    <t>North</t>
  </si>
  <si>
    <t>Courier A</t>
  </si>
  <si>
    <t>Unknown</t>
  </si>
  <si>
    <t>Brand4</t>
  </si>
  <si>
    <t>Seller A</t>
  </si>
  <si>
    <t>West</t>
  </si>
  <si>
    <t>Courier B</t>
  </si>
  <si>
    <t>Wrong Size</t>
  </si>
  <si>
    <t>Brand8</t>
  </si>
  <si>
    <t>XL</t>
  </si>
  <si>
    <t>Seller B</t>
  </si>
  <si>
    <t>Brand5</t>
  </si>
  <si>
    <t>S</t>
  </si>
  <si>
    <t>Late Delivery</t>
  </si>
  <si>
    <t>Brand10</t>
  </si>
  <si>
    <t>Brand3</t>
  </si>
  <si>
    <t>East</t>
  </si>
  <si>
    <t>Not as Expected</t>
  </si>
  <si>
    <t>Damaged</t>
  </si>
  <si>
    <t>Brand6</t>
  </si>
  <si>
    <t>Brand2</t>
  </si>
  <si>
    <t>Brand1</t>
  </si>
  <si>
    <t>L</t>
  </si>
  <si>
    <t>South</t>
  </si>
  <si>
    <t>Brand9</t>
  </si>
  <si>
    <t>Metric</t>
  </si>
  <si>
    <t>Value</t>
  </si>
  <si>
    <t>Algorithm</t>
  </si>
  <si>
    <t>Logistic Regression</t>
  </si>
  <si>
    <t>Accuracy (%)</t>
  </si>
  <si>
    <t>F1-score</t>
  </si>
  <si>
    <t>Total_Orders</t>
  </si>
  <si>
    <t>Returned_Orders</t>
  </si>
  <si>
    <t>Return_Rate</t>
  </si>
  <si>
    <t>Reason</t>
  </si>
  <si>
    <t>Count</t>
  </si>
  <si>
    <t>Returned (0=No, 1=Yes)</t>
  </si>
  <si>
    <t>Average Discount</t>
  </si>
  <si>
    <t>Average Delivery Delay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</si>
</sst>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1"/>
      <color rgb="FFFFFFFF"/>
      <name val="Aptos Display"/>
      <family val="2"/>
    </font>
    <font>
      <i/>
      <sz val="10"/>
      <color rgb="FF66757D"/>
      <name val="Aptos"/>
      <family val="2"/>
    </font>
    <font>
      <b/>
      <sz val="9"/>
      <color rgb="FFFFFFFF"/>
      <name val="Calibri"/>
      <family val="2"/>
    </font>
    <font>
      <b/>
      <sz val="20"/>
      <color rgb="FF263238"/>
      <name val="Calibri"/>
      <family val="2"/>
    </font>
    <font>
      <b/>
      <sz val="11"/>
      <color rgb="FFFFFFFF"/>
      <name val="Calibri"/>
      <family val="2"/>
    </font>
    <font>
      <sz val="11"/>
      <color rgb="FF263238"/>
      <name val="Calibri"/>
      <family val="2"/>
    </font>
    <font>
      <sz val="10"/>
      <color rgb="FF26323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33746"/>
      </patternFill>
    </fill>
    <fill>
      <patternFill patternType="solid">
        <fgColor rgb="FFF7F5F0"/>
      </patternFill>
    </fill>
    <fill>
      <patternFill patternType="solid">
        <fgColor rgb="FF2A7F82"/>
      </patternFill>
    </fill>
    <fill>
      <patternFill patternType="solid">
        <fgColor rgb="FFD7A84A"/>
      </patternFill>
    </fill>
    <fill>
      <patternFill patternType="solid">
        <fgColor rgb="FFF1F5F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8E0E3"/>
      </bottom>
      <diagonal/>
    </border>
    <border>
      <left/>
      <right/>
      <top style="thin">
        <color rgb="FFD8E0E3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6" fillId="2" borderId="0" xfId="0" applyFont="1" applyFill="1" applyAlignment="1">
      <alignment wrapText="1"/>
    </xf>
    <xf numFmtId="0" fontId="7" fillId="6" borderId="0" xfId="0" applyFont="1" applyFill="1"/>
    <xf numFmtId="164" fontId="7" fillId="6" borderId="0" xfId="0" applyNumberFormat="1" applyFont="1" applyFill="1"/>
    <xf numFmtId="0" fontId="7" fillId="0" borderId="0" xfId="0" applyFont="1"/>
    <xf numFmtId="164" fontId="7" fillId="0" borderId="0" xfId="0" applyNumberFormat="1" applyFont="1"/>
    <xf numFmtId="0" fontId="4" fillId="5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vertical="center" wrapText="1"/>
    </xf>
    <xf numFmtId="164" fontId="5" fillId="3" borderId="4" xfId="0" applyNumberFormat="1" applyFont="1" applyFill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Return rate by product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'Category Analysis'!$D$1</c:f>
              <c:strCache>
                <c:ptCount val="1"/>
                <c:pt idx="0">
                  <c:v>Return_Rate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'Category Analysis'!$A$2:$A$5</c:f>
              <c:strCache>
                <c:ptCount val="4"/>
                <c:pt idx="0">
                  <c:v>Beauty</c:v>
                </c:pt>
                <c:pt idx="1">
                  <c:v>Fashion</c:v>
                </c:pt>
                <c:pt idx="2">
                  <c:v>Home</c:v>
                </c:pt>
                <c:pt idx="3">
                  <c:v>Electronics</c:v>
                </c:pt>
              </c:strCache>
            </c:strRef>
          </c:cat>
          <c:val>
            <c:numRef>
              <c:f>'Category Analysis'!$D$2:$D$5</c:f>
              <c:numCache>
                <c:formatCode>0.0%</c:formatCode>
                <c:ptCount val="4"/>
                <c:pt idx="0">
                  <c:v>0.42857142857142849</c:v>
                </c:pt>
                <c:pt idx="1">
                  <c:v>0.23529411764705879</c:v>
                </c:pt>
                <c:pt idx="2">
                  <c:v>0.125</c:v>
                </c:pt>
                <c:pt idx="3">
                  <c:v>4.7619047619047623E-2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D-4361-A7D1-3CC4219B4E8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Return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Most common return reasons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'Return Reasons'!$B$1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'Return Reasons'!$A$2:$A$6</c:f>
              <c:strCache>
                <c:ptCount val="5"/>
                <c:pt idx="0">
                  <c:v>Wrong Size</c:v>
                </c:pt>
                <c:pt idx="1">
                  <c:v>Late Delivery</c:v>
                </c:pt>
                <c:pt idx="2">
                  <c:v>Not as Expected</c:v>
                </c:pt>
                <c:pt idx="3">
                  <c:v>Damaged</c:v>
                </c:pt>
                <c:pt idx="4">
                  <c:v>Unknown</c:v>
                </c:pt>
              </c:strCache>
            </c:strRef>
          </c:cat>
          <c:val>
            <c:numRef>
              <c:f>'Return Reasons'!$B$2:$B$6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0-427A-ABE7-9F2078397A3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Returned 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Reason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Average discount by return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'Discount Analysis'!$B$1</c:f>
              <c:strCache>
                <c:ptCount val="1"/>
                <c:pt idx="0">
                  <c:v>Average Discount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'Discount Analysis'!$A$2:$A$3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'Discount Analysis'!$B$2:$B$3</c:f>
              <c:numCache>
                <c:formatCode>General</c:formatCode>
                <c:ptCount val="2"/>
                <c:pt idx="0">
                  <c:v>14.050632911392411</c:v>
                </c:pt>
                <c:pt idx="1">
                  <c:v>11.90476190476191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A16-9EFC-8F80261E497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Returned (0 = No, 1 = Yes)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discount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Average delivery delay by return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'Delivery Analysis'!$B$1</c:f>
              <c:strCache>
                <c:ptCount val="1"/>
                <c:pt idx="0">
                  <c:v>Average Delivery Delay (days)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'Delivery Analysis'!$A$2:$A$3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'Delivery Analysis'!$B$2:$B$3</c:f>
              <c:numCache>
                <c:formatCode>General</c:formatCode>
                <c:ptCount val="2"/>
                <c:pt idx="0">
                  <c:v>0.53164556962025311</c:v>
                </c:pt>
                <c:pt idx="1">
                  <c:v>0.23809523809523811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3-4B63-8C8B-30204E1A397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Returned (0 = No, 1 = Yes)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delay (days)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5148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8</xdr:row>
      <xdr:rowOff>0</xdr:rowOff>
    </xdr:from>
    <xdr:ext cx="5148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23</xdr:row>
      <xdr:rowOff>0</xdr:rowOff>
    </xdr:from>
    <xdr:ext cx="5148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23</xdr:row>
      <xdr:rowOff>0</xdr:rowOff>
    </xdr:from>
    <xdr:ext cx="5148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.Harish kumar" refreshedDate="46308.520497569443" createdVersion="8" refreshedVersion="8" minRefreshableVersion="3" recordCount="100" xr:uid="{00000000-000A-0000-FFFF-FFFF03000000}">
  <cacheSource type="worksheet">
    <worksheetSource name="Table1"/>
  </cacheSource>
  <cacheFields count="19">
    <cacheField name="order_id" numFmtId="0">
      <sharedItems containsSemiMixedTypes="0" containsString="0" containsNumber="1" containsInteger="1" minValue="1001" maxValue="1100"/>
    </cacheField>
    <cacheField name="product_id" numFmtId="0">
      <sharedItems containsSemiMixedTypes="0" containsString="0" containsNumber="1" containsInteger="1" minValue="1" maxValue="10"/>
    </cacheField>
    <cacheField name="customer_id" numFmtId="0">
      <sharedItems containsSemiMixedTypes="0" containsString="0" containsNumber="1" containsInteger="1" minValue="101" maxValue="130"/>
    </cacheField>
    <cacheField name="qua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216" maxValue="2997"/>
    </cacheField>
    <cacheField name="discount" numFmtId="0">
      <sharedItems containsSemiMixedTypes="0" containsString="0" containsNumber="1" containsInteger="1" minValue="0" maxValue="30"/>
    </cacheField>
    <cacheField name="category" numFmtId="0">
      <sharedItems count="4">
        <s v="Electronics"/>
        <s v="Beauty"/>
        <s v="Home"/>
        <s v="Fashion"/>
      </sharedItems>
    </cacheField>
    <cacheField name="brand" numFmtId="0">
      <sharedItems/>
    </cacheField>
    <cacheField name="size" numFmtId="0">
      <sharedItems/>
    </cacheField>
    <cacheField name="seller" numFmtId="0">
      <sharedItems/>
    </cacheField>
    <cacheField name="region" numFmtId="0">
      <sharedItems/>
    </cacheField>
    <cacheField name="order_history" numFmtId="0">
      <sharedItems containsSemiMixedTypes="0" containsString="0" containsNumber="1" containsInteger="1" minValue="2" maxValue="19"/>
    </cacheField>
    <cacheField name="promised_days" numFmtId="0">
      <sharedItems containsSemiMixedTypes="0" containsString="0" containsNumber="1" containsInteger="1" minValue="2" maxValue="6"/>
    </cacheField>
    <cacheField name="delivered_days" numFmtId="0">
      <sharedItems containsSemiMixedTypes="0" containsString="0" containsNumber="1" containsInteger="1" minValue="1" maxValue="9"/>
    </cacheField>
    <cacheField name="courier" numFmtId="0">
      <sharedItems/>
    </cacheField>
    <cacheField name="returned" numFmtId="0">
      <sharedItems containsSemiMixedTypes="0" containsString="0" containsNumber="1" containsInteger="1" minValue="0" maxValue="1"/>
    </cacheField>
    <cacheField name="reason" numFmtId="0">
      <sharedItems/>
    </cacheField>
    <cacheField name="delivery_delay" numFmtId="0">
      <sharedItems containsSemiMixedTypes="0" containsString="0" containsNumber="1" containsInteger="1" minValue="-5" maxValue="6"/>
    </cacheField>
    <cacheField name="order_value" numFmtId="0">
      <sharedItems containsSemiMixedTypes="0" containsString="0" containsNumber="1" containsInteger="1" minValue="298" maxValue="107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0">
  <r>
    <n v="1001"/>
    <n v="7"/>
    <n v="112"/>
    <n v="3"/>
    <n v="462"/>
    <n v="10"/>
    <x v="0"/>
    <s v="Brand7"/>
    <s v="M"/>
    <s v="Seller C"/>
    <s v="North"/>
    <n v="4"/>
    <n v="2"/>
    <n v="5"/>
    <s v="Courier A"/>
    <n v="0"/>
    <s v="Unknown"/>
    <n v="3"/>
    <n v="1386"/>
  </r>
  <r>
    <n v="1002"/>
    <n v="4"/>
    <n v="102"/>
    <n v="2"/>
    <n v="1987"/>
    <n v="5"/>
    <x v="1"/>
    <s v="Brand4"/>
    <s v="M"/>
    <s v="Seller A"/>
    <s v="West"/>
    <n v="8"/>
    <n v="2"/>
    <n v="6"/>
    <s v="Courier B"/>
    <n v="0"/>
    <s v="Wrong Size"/>
    <n v="4"/>
    <n v="3974"/>
  </r>
  <r>
    <n v="1003"/>
    <n v="8"/>
    <n v="101"/>
    <n v="4"/>
    <n v="2391"/>
    <n v="5"/>
    <x v="2"/>
    <s v="Brand8"/>
    <s v="XL"/>
    <s v="Seller B"/>
    <s v="West"/>
    <n v="17"/>
    <n v="5"/>
    <n v="5"/>
    <s v="Courier B"/>
    <n v="1"/>
    <s v="Wrong Size"/>
    <n v="0"/>
    <n v="9564"/>
  </r>
  <r>
    <n v="1004"/>
    <n v="5"/>
    <n v="116"/>
    <n v="4"/>
    <n v="2593"/>
    <n v="10"/>
    <x v="3"/>
    <s v="Brand5"/>
    <s v="S"/>
    <s v="Seller A"/>
    <s v="North"/>
    <n v="9"/>
    <n v="2"/>
    <n v="5"/>
    <s v="Courier A"/>
    <n v="0"/>
    <s v="Wrong Size"/>
    <n v="3"/>
    <n v="10372"/>
  </r>
  <r>
    <n v="1005"/>
    <n v="7"/>
    <n v="123"/>
    <n v="4"/>
    <n v="823"/>
    <n v="5"/>
    <x v="0"/>
    <s v="Brand7"/>
    <s v="M"/>
    <s v="Seller C"/>
    <s v="West"/>
    <n v="17"/>
    <n v="6"/>
    <n v="4"/>
    <s v="Courier A"/>
    <n v="0"/>
    <s v="Late Delivery"/>
    <n v="-2"/>
    <n v="3292"/>
  </r>
  <r>
    <n v="1006"/>
    <n v="10"/>
    <n v="123"/>
    <n v="1"/>
    <n v="1216"/>
    <n v="5"/>
    <x v="3"/>
    <s v="Brand10"/>
    <s v="M"/>
    <s v="Seller C"/>
    <s v="West"/>
    <n v="17"/>
    <n v="4"/>
    <n v="3"/>
    <s v="Courier A"/>
    <n v="1"/>
    <s v="Late Delivery"/>
    <n v="-1"/>
    <n v="1216"/>
  </r>
  <r>
    <n v="1007"/>
    <n v="3"/>
    <n v="130"/>
    <n v="4"/>
    <n v="1080"/>
    <n v="5"/>
    <x v="2"/>
    <s v="Brand3"/>
    <s v="M"/>
    <s v="Seller B"/>
    <s v="East"/>
    <n v="9"/>
    <n v="4"/>
    <n v="3"/>
    <s v="Courier B"/>
    <n v="1"/>
    <s v="Wrong Size"/>
    <n v="-1"/>
    <n v="4320"/>
  </r>
  <r>
    <n v="1008"/>
    <n v="7"/>
    <n v="124"/>
    <n v="1"/>
    <n v="2249"/>
    <n v="0"/>
    <x v="0"/>
    <s v="Brand7"/>
    <s v="M"/>
    <s v="Seller C"/>
    <s v="East"/>
    <n v="7"/>
    <n v="2"/>
    <n v="4"/>
    <s v="Courier B"/>
    <n v="0"/>
    <s v="Unknown"/>
    <n v="2"/>
    <n v="2249"/>
  </r>
  <r>
    <n v="1009"/>
    <n v="8"/>
    <n v="105"/>
    <n v="2"/>
    <n v="1527"/>
    <n v="0"/>
    <x v="2"/>
    <s v="Brand8"/>
    <s v="XL"/>
    <s v="Seller B"/>
    <s v="East"/>
    <n v="19"/>
    <n v="5"/>
    <n v="9"/>
    <s v="Courier B"/>
    <n v="0"/>
    <s v="Not as Expected"/>
    <n v="4"/>
    <n v="3054"/>
  </r>
  <r>
    <n v="1010"/>
    <n v="5"/>
    <n v="103"/>
    <n v="1"/>
    <n v="2501"/>
    <n v="0"/>
    <x v="3"/>
    <s v="Brand5"/>
    <s v="S"/>
    <s v="Seller A"/>
    <s v="West"/>
    <n v="10"/>
    <n v="5"/>
    <n v="2"/>
    <s v="Courier B"/>
    <n v="1"/>
    <s v="Not as Expected"/>
    <n v="-3"/>
    <n v="2501"/>
  </r>
  <r>
    <n v="1011"/>
    <n v="4"/>
    <n v="112"/>
    <n v="2"/>
    <n v="652"/>
    <n v="10"/>
    <x v="1"/>
    <s v="Brand4"/>
    <s v="M"/>
    <s v="Seller A"/>
    <s v="North"/>
    <n v="4"/>
    <n v="6"/>
    <n v="9"/>
    <s v="Courier B"/>
    <n v="1"/>
    <s v="Damaged"/>
    <n v="3"/>
    <n v="1304"/>
  </r>
  <r>
    <n v="1012"/>
    <n v="8"/>
    <n v="108"/>
    <n v="4"/>
    <n v="1383"/>
    <n v="30"/>
    <x v="2"/>
    <s v="Brand8"/>
    <s v="XL"/>
    <s v="Seller B"/>
    <s v="North"/>
    <n v="4"/>
    <n v="2"/>
    <n v="1"/>
    <s v="Courier B"/>
    <n v="0"/>
    <s v="Unknown"/>
    <n v="-1"/>
    <n v="5532"/>
  </r>
  <r>
    <n v="1013"/>
    <n v="8"/>
    <n v="122"/>
    <n v="4"/>
    <n v="2256"/>
    <n v="5"/>
    <x v="2"/>
    <s v="Brand8"/>
    <s v="XL"/>
    <s v="Seller B"/>
    <s v="North"/>
    <n v="18"/>
    <n v="4"/>
    <n v="1"/>
    <s v="Courier B"/>
    <n v="0"/>
    <s v="Late Delivery"/>
    <n v="-3"/>
    <n v="9024"/>
  </r>
  <r>
    <n v="1014"/>
    <n v="3"/>
    <n v="127"/>
    <n v="2"/>
    <n v="1882"/>
    <n v="5"/>
    <x v="2"/>
    <s v="Brand3"/>
    <s v="M"/>
    <s v="Seller B"/>
    <s v="North"/>
    <n v="17"/>
    <n v="5"/>
    <n v="5"/>
    <s v="Courier B"/>
    <n v="0"/>
    <s v="Wrong Size"/>
    <n v="0"/>
    <n v="3764"/>
  </r>
  <r>
    <n v="1015"/>
    <n v="6"/>
    <n v="103"/>
    <n v="3"/>
    <n v="2455"/>
    <n v="10"/>
    <x v="3"/>
    <s v="Brand6"/>
    <s v="XL"/>
    <s v="Seller A"/>
    <s v="West"/>
    <n v="10"/>
    <n v="2"/>
    <n v="6"/>
    <s v="Courier B"/>
    <n v="0"/>
    <s v="Damaged"/>
    <n v="4"/>
    <n v="7365"/>
  </r>
  <r>
    <n v="1016"/>
    <n v="5"/>
    <n v="101"/>
    <n v="2"/>
    <n v="1354"/>
    <n v="5"/>
    <x v="3"/>
    <s v="Brand5"/>
    <s v="S"/>
    <s v="Seller A"/>
    <s v="West"/>
    <n v="17"/>
    <n v="5"/>
    <n v="6"/>
    <s v="Courier A"/>
    <n v="0"/>
    <s v="Not as Expected"/>
    <n v="1"/>
    <n v="2708"/>
  </r>
  <r>
    <n v="1017"/>
    <n v="2"/>
    <n v="103"/>
    <n v="3"/>
    <n v="603"/>
    <n v="0"/>
    <x v="0"/>
    <s v="Brand2"/>
    <s v="M"/>
    <s v="Seller C"/>
    <s v="West"/>
    <n v="10"/>
    <n v="5"/>
    <n v="3"/>
    <s v="Courier A"/>
    <n v="0"/>
    <s v="Late Delivery"/>
    <n v="-2"/>
    <n v="1809"/>
  </r>
  <r>
    <n v="1018"/>
    <n v="8"/>
    <n v="105"/>
    <n v="1"/>
    <n v="2399"/>
    <n v="30"/>
    <x v="2"/>
    <s v="Brand8"/>
    <s v="XL"/>
    <s v="Seller B"/>
    <s v="East"/>
    <n v="19"/>
    <n v="4"/>
    <n v="7"/>
    <s v="Courier A"/>
    <n v="0"/>
    <s v="Late Delivery"/>
    <n v="3"/>
    <n v="2399"/>
  </r>
  <r>
    <n v="1019"/>
    <n v="6"/>
    <n v="115"/>
    <n v="1"/>
    <n v="2301"/>
    <n v="20"/>
    <x v="3"/>
    <s v="Brand6"/>
    <s v="XL"/>
    <s v="Seller A"/>
    <s v="North"/>
    <n v="5"/>
    <n v="3"/>
    <n v="9"/>
    <s v="Courier A"/>
    <n v="1"/>
    <s v="Wrong Size"/>
    <n v="6"/>
    <n v="2301"/>
  </r>
  <r>
    <n v="1020"/>
    <n v="2"/>
    <n v="114"/>
    <n v="1"/>
    <n v="1896"/>
    <n v="5"/>
    <x v="0"/>
    <s v="Brand2"/>
    <s v="M"/>
    <s v="Seller C"/>
    <s v="East"/>
    <n v="10"/>
    <n v="6"/>
    <n v="8"/>
    <s v="Courier B"/>
    <n v="0"/>
    <s v="Not as Expected"/>
    <n v="2"/>
    <n v="1896"/>
  </r>
  <r>
    <n v="1021"/>
    <n v="5"/>
    <n v="103"/>
    <n v="4"/>
    <n v="827"/>
    <n v="0"/>
    <x v="3"/>
    <s v="Brand5"/>
    <s v="S"/>
    <s v="Seller A"/>
    <s v="West"/>
    <n v="10"/>
    <n v="6"/>
    <n v="6"/>
    <s v="Courier B"/>
    <n v="0"/>
    <s v="Unknown"/>
    <n v="0"/>
    <n v="3308"/>
  </r>
  <r>
    <n v="1022"/>
    <n v="1"/>
    <n v="101"/>
    <n v="1"/>
    <n v="786"/>
    <n v="20"/>
    <x v="3"/>
    <s v="Brand1"/>
    <s v="L"/>
    <s v="Seller B"/>
    <s v="West"/>
    <n v="17"/>
    <n v="4"/>
    <n v="8"/>
    <s v="Courier A"/>
    <n v="1"/>
    <s v="Late Delivery"/>
    <n v="4"/>
    <n v="786"/>
  </r>
  <r>
    <n v="1023"/>
    <n v="10"/>
    <n v="105"/>
    <n v="3"/>
    <n v="1848"/>
    <n v="30"/>
    <x v="3"/>
    <s v="Brand10"/>
    <s v="M"/>
    <s v="Seller C"/>
    <s v="East"/>
    <n v="19"/>
    <n v="5"/>
    <n v="5"/>
    <s v="Courier B"/>
    <n v="1"/>
    <s v="Wrong Size"/>
    <n v="0"/>
    <n v="5544"/>
  </r>
  <r>
    <n v="1024"/>
    <n v="6"/>
    <n v="126"/>
    <n v="1"/>
    <n v="1643"/>
    <n v="20"/>
    <x v="3"/>
    <s v="Brand6"/>
    <s v="XL"/>
    <s v="Seller A"/>
    <s v="South"/>
    <n v="12"/>
    <n v="2"/>
    <n v="8"/>
    <s v="Courier A"/>
    <n v="0"/>
    <s v="Unknown"/>
    <n v="6"/>
    <n v="1643"/>
  </r>
  <r>
    <n v="1025"/>
    <n v="9"/>
    <n v="123"/>
    <n v="2"/>
    <n v="1645"/>
    <n v="0"/>
    <x v="1"/>
    <s v="Brand9"/>
    <s v="L"/>
    <s v="Seller A"/>
    <s v="West"/>
    <n v="17"/>
    <n v="5"/>
    <n v="4"/>
    <s v="Courier B"/>
    <n v="0"/>
    <s v="Not as Expected"/>
    <n v="-1"/>
    <n v="3290"/>
  </r>
  <r>
    <n v="1026"/>
    <n v="1"/>
    <n v="114"/>
    <n v="2"/>
    <n v="303"/>
    <n v="20"/>
    <x v="3"/>
    <s v="Brand1"/>
    <s v="L"/>
    <s v="Seller B"/>
    <s v="East"/>
    <n v="10"/>
    <n v="4"/>
    <n v="8"/>
    <s v="Courier A"/>
    <n v="0"/>
    <s v="Late Delivery"/>
    <n v="4"/>
    <n v="606"/>
  </r>
  <r>
    <n v="1027"/>
    <n v="10"/>
    <n v="107"/>
    <n v="4"/>
    <n v="453"/>
    <n v="10"/>
    <x v="3"/>
    <s v="Brand10"/>
    <s v="M"/>
    <s v="Seller C"/>
    <s v="North"/>
    <n v="7"/>
    <n v="6"/>
    <n v="2"/>
    <s v="Courier B"/>
    <n v="0"/>
    <s v="Unknown"/>
    <n v="-4"/>
    <n v="1812"/>
  </r>
  <r>
    <n v="1028"/>
    <n v="3"/>
    <n v="127"/>
    <n v="2"/>
    <n v="2757"/>
    <n v="20"/>
    <x v="2"/>
    <s v="Brand3"/>
    <s v="M"/>
    <s v="Seller B"/>
    <s v="North"/>
    <n v="17"/>
    <n v="5"/>
    <n v="5"/>
    <s v="Courier B"/>
    <n v="0"/>
    <s v="Unknown"/>
    <n v="0"/>
    <n v="5514"/>
  </r>
  <r>
    <n v="1029"/>
    <n v="7"/>
    <n v="109"/>
    <n v="3"/>
    <n v="1696"/>
    <n v="5"/>
    <x v="0"/>
    <s v="Brand7"/>
    <s v="M"/>
    <s v="Seller C"/>
    <s v="North"/>
    <n v="18"/>
    <n v="6"/>
    <n v="9"/>
    <s v="Courier A"/>
    <n v="0"/>
    <s v="Unknown"/>
    <n v="3"/>
    <n v="5088"/>
  </r>
  <r>
    <n v="1030"/>
    <n v="4"/>
    <n v="115"/>
    <n v="1"/>
    <n v="298"/>
    <n v="5"/>
    <x v="1"/>
    <s v="Brand4"/>
    <s v="M"/>
    <s v="Seller A"/>
    <s v="North"/>
    <n v="5"/>
    <n v="2"/>
    <n v="4"/>
    <s v="Courier B"/>
    <n v="0"/>
    <s v="Late Delivery"/>
    <n v="2"/>
    <n v="298"/>
  </r>
  <r>
    <n v="1031"/>
    <n v="9"/>
    <n v="115"/>
    <n v="4"/>
    <n v="2400"/>
    <n v="10"/>
    <x v="1"/>
    <s v="Brand9"/>
    <s v="L"/>
    <s v="Seller A"/>
    <s v="North"/>
    <n v="5"/>
    <n v="6"/>
    <n v="6"/>
    <s v="Courier A"/>
    <n v="0"/>
    <s v="Late Delivery"/>
    <n v="0"/>
    <n v="9600"/>
  </r>
  <r>
    <n v="1032"/>
    <n v="3"/>
    <n v="126"/>
    <n v="1"/>
    <n v="2084"/>
    <n v="0"/>
    <x v="2"/>
    <s v="Brand3"/>
    <s v="M"/>
    <s v="Seller B"/>
    <s v="South"/>
    <n v="12"/>
    <n v="6"/>
    <n v="1"/>
    <s v="Courier A"/>
    <n v="0"/>
    <s v="Damaged"/>
    <n v="-5"/>
    <n v="2084"/>
  </r>
  <r>
    <n v="1033"/>
    <n v="5"/>
    <n v="110"/>
    <n v="1"/>
    <n v="2119"/>
    <n v="5"/>
    <x v="3"/>
    <s v="Brand5"/>
    <s v="S"/>
    <s v="Seller A"/>
    <s v="East"/>
    <n v="13"/>
    <n v="3"/>
    <n v="9"/>
    <s v="Courier A"/>
    <n v="0"/>
    <s v="Not as Expected"/>
    <n v="6"/>
    <n v="2119"/>
  </r>
  <r>
    <n v="1034"/>
    <n v="3"/>
    <n v="128"/>
    <n v="3"/>
    <n v="1077"/>
    <n v="30"/>
    <x v="2"/>
    <s v="Brand3"/>
    <s v="M"/>
    <s v="Seller B"/>
    <s v="East"/>
    <n v="13"/>
    <n v="3"/>
    <n v="1"/>
    <s v="Courier A"/>
    <n v="0"/>
    <s v="Wrong Size"/>
    <n v="-2"/>
    <n v="3231"/>
  </r>
  <r>
    <n v="1035"/>
    <n v="7"/>
    <n v="113"/>
    <n v="2"/>
    <n v="537"/>
    <n v="5"/>
    <x v="0"/>
    <s v="Brand7"/>
    <s v="M"/>
    <s v="Seller C"/>
    <s v="West"/>
    <n v="4"/>
    <n v="3"/>
    <n v="5"/>
    <s v="Courier B"/>
    <n v="0"/>
    <s v="Unknown"/>
    <n v="2"/>
    <n v="1074"/>
  </r>
  <r>
    <n v="1036"/>
    <n v="5"/>
    <n v="119"/>
    <n v="2"/>
    <n v="1156"/>
    <n v="5"/>
    <x v="3"/>
    <s v="Brand5"/>
    <s v="S"/>
    <s v="Seller A"/>
    <s v="East"/>
    <n v="3"/>
    <n v="6"/>
    <n v="4"/>
    <s v="Courier B"/>
    <n v="0"/>
    <s v="Damaged"/>
    <n v="-2"/>
    <n v="2312"/>
  </r>
  <r>
    <n v="1037"/>
    <n v="9"/>
    <n v="107"/>
    <n v="1"/>
    <n v="1904"/>
    <n v="0"/>
    <x v="1"/>
    <s v="Brand9"/>
    <s v="L"/>
    <s v="Seller A"/>
    <s v="North"/>
    <n v="7"/>
    <n v="4"/>
    <n v="3"/>
    <s v="Courier B"/>
    <n v="1"/>
    <s v="Wrong Size"/>
    <n v="-1"/>
    <n v="1904"/>
  </r>
  <r>
    <n v="1038"/>
    <n v="7"/>
    <n v="117"/>
    <n v="4"/>
    <n v="360"/>
    <n v="20"/>
    <x v="0"/>
    <s v="Brand7"/>
    <s v="M"/>
    <s v="Seller C"/>
    <s v="West"/>
    <n v="3"/>
    <n v="6"/>
    <n v="6"/>
    <s v="Courier A"/>
    <n v="0"/>
    <s v="Damaged"/>
    <n v="0"/>
    <n v="1440"/>
  </r>
  <r>
    <n v="1039"/>
    <n v="2"/>
    <n v="120"/>
    <n v="2"/>
    <n v="1803"/>
    <n v="5"/>
    <x v="0"/>
    <s v="Brand2"/>
    <s v="M"/>
    <s v="Seller C"/>
    <s v="West"/>
    <n v="16"/>
    <n v="4"/>
    <n v="2"/>
    <s v="Courier B"/>
    <n v="0"/>
    <s v="Late Delivery"/>
    <n v="-2"/>
    <n v="3606"/>
  </r>
  <r>
    <n v="1040"/>
    <n v="4"/>
    <n v="129"/>
    <n v="4"/>
    <n v="597"/>
    <n v="10"/>
    <x v="1"/>
    <s v="Brand4"/>
    <s v="M"/>
    <s v="Seller A"/>
    <s v="South"/>
    <n v="3"/>
    <n v="4"/>
    <n v="3"/>
    <s v="Courier A"/>
    <n v="1"/>
    <s v="Unknown"/>
    <n v="-1"/>
    <n v="2388"/>
  </r>
  <r>
    <n v="1041"/>
    <n v="9"/>
    <n v="104"/>
    <n v="2"/>
    <n v="1500"/>
    <n v="20"/>
    <x v="1"/>
    <s v="Brand9"/>
    <s v="L"/>
    <s v="Seller A"/>
    <s v="South"/>
    <n v="2"/>
    <n v="3"/>
    <n v="5"/>
    <s v="Courier B"/>
    <n v="0"/>
    <s v="Wrong Size"/>
    <n v="2"/>
    <n v="3000"/>
  </r>
  <r>
    <n v="1042"/>
    <n v="2"/>
    <n v="130"/>
    <n v="4"/>
    <n v="1015"/>
    <n v="30"/>
    <x v="0"/>
    <s v="Brand2"/>
    <s v="M"/>
    <s v="Seller C"/>
    <s v="East"/>
    <n v="9"/>
    <n v="5"/>
    <n v="9"/>
    <s v="Courier B"/>
    <n v="0"/>
    <s v="Wrong Size"/>
    <n v="4"/>
    <n v="4060"/>
  </r>
  <r>
    <n v="1043"/>
    <n v="10"/>
    <n v="105"/>
    <n v="3"/>
    <n v="1727"/>
    <n v="0"/>
    <x v="3"/>
    <s v="Brand10"/>
    <s v="M"/>
    <s v="Seller C"/>
    <s v="East"/>
    <n v="19"/>
    <n v="2"/>
    <n v="2"/>
    <s v="Courier B"/>
    <n v="0"/>
    <s v="Wrong Size"/>
    <n v="0"/>
    <n v="5181"/>
  </r>
  <r>
    <n v="1044"/>
    <n v="9"/>
    <n v="123"/>
    <n v="4"/>
    <n v="2119"/>
    <n v="30"/>
    <x v="1"/>
    <s v="Brand9"/>
    <s v="L"/>
    <s v="Seller A"/>
    <s v="West"/>
    <n v="17"/>
    <n v="3"/>
    <n v="8"/>
    <s v="Courier A"/>
    <n v="0"/>
    <s v="Wrong Size"/>
    <n v="5"/>
    <n v="8476"/>
  </r>
  <r>
    <n v="1045"/>
    <n v="10"/>
    <n v="107"/>
    <n v="3"/>
    <n v="1615"/>
    <n v="20"/>
    <x v="3"/>
    <s v="Brand10"/>
    <s v="M"/>
    <s v="Seller C"/>
    <s v="North"/>
    <n v="7"/>
    <n v="3"/>
    <n v="2"/>
    <s v="Courier B"/>
    <n v="1"/>
    <s v="Wrong Size"/>
    <n v="-1"/>
    <n v="4845"/>
  </r>
  <r>
    <n v="1046"/>
    <n v="5"/>
    <n v="113"/>
    <n v="3"/>
    <n v="1358"/>
    <n v="20"/>
    <x v="3"/>
    <s v="Brand5"/>
    <s v="S"/>
    <s v="Seller A"/>
    <s v="West"/>
    <n v="4"/>
    <n v="5"/>
    <n v="5"/>
    <s v="Courier B"/>
    <n v="0"/>
    <s v="Damaged"/>
    <n v="0"/>
    <n v="4074"/>
  </r>
  <r>
    <n v="1047"/>
    <n v="2"/>
    <n v="115"/>
    <n v="4"/>
    <n v="1418"/>
    <n v="20"/>
    <x v="0"/>
    <s v="Brand2"/>
    <s v="M"/>
    <s v="Seller C"/>
    <s v="North"/>
    <n v="5"/>
    <n v="2"/>
    <n v="7"/>
    <s v="Courier A"/>
    <n v="0"/>
    <s v="Unknown"/>
    <n v="5"/>
    <n v="5672"/>
  </r>
  <r>
    <n v="1048"/>
    <n v="4"/>
    <n v="111"/>
    <n v="3"/>
    <n v="600"/>
    <n v="30"/>
    <x v="1"/>
    <s v="Brand4"/>
    <s v="M"/>
    <s v="Seller A"/>
    <s v="East"/>
    <n v="11"/>
    <n v="6"/>
    <n v="8"/>
    <s v="Courier B"/>
    <n v="0"/>
    <s v="Late Delivery"/>
    <n v="2"/>
    <n v="1800"/>
  </r>
  <r>
    <n v="1049"/>
    <n v="7"/>
    <n v="129"/>
    <n v="1"/>
    <n v="839"/>
    <n v="20"/>
    <x v="0"/>
    <s v="Brand7"/>
    <s v="M"/>
    <s v="Seller C"/>
    <s v="South"/>
    <n v="3"/>
    <n v="6"/>
    <n v="1"/>
    <s v="Courier A"/>
    <n v="0"/>
    <s v="Late Delivery"/>
    <n v="-5"/>
    <n v="839"/>
  </r>
  <r>
    <n v="1050"/>
    <n v="8"/>
    <n v="104"/>
    <n v="3"/>
    <n v="2935"/>
    <n v="30"/>
    <x v="2"/>
    <s v="Brand8"/>
    <s v="XL"/>
    <s v="Seller B"/>
    <s v="South"/>
    <n v="2"/>
    <n v="3"/>
    <n v="6"/>
    <s v="Courier B"/>
    <n v="0"/>
    <s v="Late Delivery"/>
    <n v="3"/>
    <n v="8805"/>
  </r>
  <r>
    <n v="1051"/>
    <n v="3"/>
    <n v="113"/>
    <n v="2"/>
    <n v="659"/>
    <n v="20"/>
    <x v="2"/>
    <s v="Brand3"/>
    <s v="M"/>
    <s v="Seller B"/>
    <s v="West"/>
    <n v="4"/>
    <n v="2"/>
    <n v="1"/>
    <s v="Courier A"/>
    <n v="0"/>
    <s v="Late Delivery"/>
    <n v="-1"/>
    <n v="1318"/>
  </r>
  <r>
    <n v="1052"/>
    <n v="1"/>
    <n v="107"/>
    <n v="4"/>
    <n v="1154"/>
    <n v="10"/>
    <x v="3"/>
    <s v="Brand1"/>
    <s v="L"/>
    <s v="Seller B"/>
    <s v="North"/>
    <n v="7"/>
    <n v="3"/>
    <n v="2"/>
    <s v="Courier A"/>
    <n v="0"/>
    <s v="Damaged"/>
    <n v="-1"/>
    <n v="4616"/>
  </r>
  <r>
    <n v="1053"/>
    <n v="4"/>
    <n v="127"/>
    <n v="1"/>
    <n v="669"/>
    <n v="20"/>
    <x v="1"/>
    <s v="Brand4"/>
    <s v="M"/>
    <s v="Seller A"/>
    <s v="North"/>
    <n v="17"/>
    <n v="4"/>
    <n v="1"/>
    <s v="Courier B"/>
    <n v="1"/>
    <s v="Not as Expected"/>
    <n v="-3"/>
    <n v="669"/>
  </r>
  <r>
    <n v="1054"/>
    <n v="2"/>
    <n v="119"/>
    <n v="4"/>
    <n v="1245"/>
    <n v="30"/>
    <x v="0"/>
    <s v="Brand2"/>
    <s v="M"/>
    <s v="Seller C"/>
    <s v="East"/>
    <n v="3"/>
    <n v="3"/>
    <n v="5"/>
    <s v="Courier A"/>
    <n v="0"/>
    <s v="Unknown"/>
    <n v="2"/>
    <n v="4980"/>
  </r>
  <r>
    <n v="1055"/>
    <n v="8"/>
    <n v="122"/>
    <n v="2"/>
    <n v="2997"/>
    <n v="5"/>
    <x v="2"/>
    <s v="Brand8"/>
    <s v="XL"/>
    <s v="Seller B"/>
    <s v="North"/>
    <n v="18"/>
    <n v="3"/>
    <n v="9"/>
    <s v="Courier A"/>
    <n v="0"/>
    <s v="Wrong Size"/>
    <n v="6"/>
    <n v="5994"/>
  </r>
  <r>
    <n v="1056"/>
    <n v="4"/>
    <n v="128"/>
    <n v="2"/>
    <n v="1893"/>
    <n v="20"/>
    <x v="1"/>
    <s v="Brand4"/>
    <s v="M"/>
    <s v="Seller A"/>
    <s v="East"/>
    <n v="13"/>
    <n v="6"/>
    <n v="6"/>
    <s v="Courier A"/>
    <n v="0"/>
    <s v="Not as Expected"/>
    <n v="0"/>
    <n v="3786"/>
  </r>
  <r>
    <n v="1057"/>
    <n v="2"/>
    <n v="102"/>
    <n v="2"/>
    <n v="2285"/>
    <n v="5"/>
    <x v="0"/>
    <s v="Brand2"/>
    <s v="M"/>
    <s v="Seller C"/>
    <s v="West"/>
    <n v="8"/>
    <n v="6"/>
    <n v="1"/>
    <s v="Courier A"/>
    <n v="0"/>
    <s v="Late Delivery"/>
    <n v="-5"/>
    <n v="4570"/>
  </r>
  <r>
    <n v="1058"/>
    <n v="6"/>
    <n v="110"/>
    <n v="3"/>
    <n v="2477"/>
    <n v="10"/>
    <x v="3"/>
    <s v="Brand6"/>
    <s v="XL"/>
    <s v="Seller A"/>
    <s v="East"/>
    <n v="13"/>
    <n v="6"/>
    <n v="1"/>
    <s v="Courier A"/>
    <n v="0"/>
    <s v="Not as Expected"/>
    <n v="-5"/>
    <n v="7431"/>
  </r>
  <r>
    <n v="1059"/>
    <n v="6"/>
    <n v="113"/>
    <n v="3"/>
    <n v="762"/>
    <n v="0"/>
    <x v="3"/>
    <s v="Brand6"/>
    <s v="XL"/>
    <s v="Seller A"/>
    <s v="West"/>
    <n v="4"/>
    <n v="4"/>
    <n v="2"/>
    <s v="Courier A"/>
    <n v="0"/>
    <s v="Unknown"/>
    <n v="-2"/>
    <n v="2286"/>
  </r>
  <r>
    <n v="1060"/>
    <n v="10"/>
    <n v="130"/>
    <n v="4"/>
    <n v="2685"/>
    <n v="10"/>
    <x v="3"/>
    <s v="Brand10"/>
    <s v="M"/>
    <s v="Seller C"/>
    <s v="East"/>
    <n v="9"/>
    <n v="6"/>
    <n v="9"/>
    <s v="Courier B"/>
    <n v="0"/>
    <s v="Wrong Size"/>
    <n v="3"/>
    <n v="10740"/>
  </r>
  <r>
    <n v="1061"/>
    <n v="4"/>
    <n v="125"/>
    <n v="4"/>
    <n v="1999"/>
    <n v="20"/>
    <x v="1"/>
    <s v="Brand4"/>
    <s v="M"/>
    <s v="Seller A"/>
    <s v="South"/>
    <n v="5"/>
    <n v="2"/>
    <n v="3"/>
    <s v="Courier A"/>
    <n v="0"/>
    <s v="Wrong Size"/>
    <n v="1"/>
    <n v="7996"/>
  </r>
  <r>
    <n v="1062"/>
    <n v="6"/>
    <n v="121"/>
    <n v="1"/>
    <n v="2274"/>
    <n v="5"/>
    <x v="3"/>
    <s v="Brand6"/>
    <s v="XL"/>
    <s v="Seller A"/>
    <s v="North"/>
    <n v="4"/>
    <n v="5"/>
    <n v="1"/>
    <s v="Courier A"/>
    <n v="0"/>
    <s v="Unknown"/>
    <n v="-4"/>
    <n v="2274"/>
  </r>
  <r>
    <n v="1063"/>
    <n v="2"/>
    <n v="106"/>
    <n v="1"/>
    <n v="425"/>
    <n v="5"/>
    <x v="0"/>
    <s v="Brand2"/>
    <s v="M"/>
    <s v="Seller C"/>
    <s v="West"/>
    <n v="9"/>
    <n v="2"/>
    <n v="5"/>
    <s v="Courier B"/>
    <n v="1"/>
    <s v="Unknown"/>
    <n v="3"/>
    <n v="425"/>
  </r>
  <r>
    <n v="1064"/>
    <n v="10"/>
    <n v="128"/>
    <n v="4"/>
    <n v="997"/>
    <n v="30"/>
    <x v="3"/>
    <s v="Brand10"/>
    <s v="M"/>
    <s v="Seller C"/>
    <s v="East"/>
    <n v="13"/>
    <n v="2"/>
    <n v="7"/>
    <s v="Courier B"/>
    <n v="0"/>
    <s v="Late Delivery"/>
    <n v="5"/>
    <n v="3988"/>
  </r>
  <r>
    <n v="1065"/>
    <n v="2"/>
    <n v="128"/>
    <n v="3"/>
    <n v="2531"/>
    <n v="5"/>
    <x v="0"/>
    <s v="Brand2"/>
    <s v="M"/>
    <s v="Seller C"/>
    <s v="East"/>
    <n v="13"/>
    <n v="6"/>
    <n v="6"/>
    <s v="Courier B"/>
    <n v="0"/>
    <s v="Wrong Size"/>
    <n v="0"/>
    <n v="7593"/>
  </r>
  <r>
    <n v="1066"/>
    <n v="10"/>
    <n v="112"/>
    <n v="2"/>
    <n v="1159"/>
    <n v="30"/>
    <x v="3"/>
    <s v="Brand10"/>
    <s v="M"/>
    <s v="Seller C"/>
    <s v="North"/>
    <n v="4"/>
    <n v="5"/>
    <n v="1"/>
    <s v="Courier B"/>
    <n v="0"/>
    <s v="Not as Expected"/>
    <n v="-4"/>
    <n v="2318"/>
  </r>
  <r>
    <n v="1067"/>
    <n v="4"/>
    <n v="112"/>
    <n v="4"/>
    <n v="1704"/>
    <n v="0"/>
    <x v="1"/>
    <s v="Brand4"/>
    <s v="M"/>
    <s v="Seller A"/>
    <s v="North"/>
    <n v="4"/>
    <n v="5"/>
    <n v="5"/>
    <s v="Courier B"/>
    <n v="1"/>
    <s v="Damaged"/>
    <n v="0"/>
    <n v="6816"/>
  </r>
  <r>
    <n v="1068"/>
    <n v="8"/>
    <n v="120"/>
    <n v="1"/>
    <n v="652"/>
    <n v="20"/>
    <x v="2"/>
    <s v="Brand8"/>
    <s v="XL"/>
    <s v="Seller B"/>
    <s v="West"/>
    <n v="16"/>
    <n v="5"/>
    <n v="5"/>
    <s v="Courier B"/>
    <n v="0"/>
    <s v="Damaged"/>
    <n v="0"/>
    <n v="652"/>
  </r>
  <r>
    <n v="1069"/>
    <n v="7"/>
    <n v="130"/>
    <n v="3"/>
    <n v="1015"/>
    <n v="30"/>
    <x v="0"/>
    <s v="Brand7"/>
    <s v="M"/>
    <s v="Seller C"/>
    <s v="East"/>
    <n v="9"/>
    <n v="4"/>
    <n v="6"/>
    <s v="Courier B"/>
    <n v="0"/>
    <s v="Unknown"/>
    <n v="2"/>
    <n v="3045"/>
  </r>
  <r>
    <n v="1070"/>
    <n v="9"/>
    <n v="130"/>
    <n v="4"/>
    <n v="858"/>
    <n v="0"/>
    <x v="1"/>
    <s v="Brand9"/>
    <s v="L"/>
    <s v="Seller A"/>
    <s v="East"/>
    <n v="9"/>
    <n v="6"/>
    <n v="3"/>
    <s v="Courier A"/>
    <n v="1"/>
    <s v="Late Delivery"/>
    <n v="-3"/>
    <n v="3432"/>
  </r>
  <r>
    <n v="1071"/>
    <n v="8"/>
    <n v="111"/>
    <n v="4"/>
    <n v="746"/>
    <n v="5"/>
    <x v="2"/>
    <s v="Brand8"/>
    <s v="XL"/>
    <s v="Seller B"/>
    <s v="East"/>
    <n v="11"/>
    <n v="5"/>
    <n v="5"/>
    <s v="Courier A"/>
    <n v="1"/>
    <s v="Damaged"/>
    <n v="0"/>
    <n v="2984"/>
  </r>
  <r>
    <n v="1072"/>
    <n v="5"/>
    <n v="126"/>
    <n v="3"/>
    <n v="1415"/>
    <n v="5"/>
    <x v="3"/>
    <s v="Brand5"/>
    <s v="S"/>
    <s v="Seller A"/>
    <s v="South"/>
    <n v="12"/>
    <n v="4"/>
    <n v="7"/>
    <s v="Courier B"/>
    <n v="1"/>
    <s v="Wrong Size"/>
    <n v="3"/>
    <n v="4245"/>
  </r>
  <r>
    <n v="1073"/>
    <n v="2"/>
    <n v="123"/>
    <n v="4"/>
    <n v="216"/>
    <n v="0"/>
    <x v="0"/>
    <s v="Brand2"/>
    <s v="M"/>
    <s v="Seller C"/>
    <s v="West"/>
    <n v="17"/>
    <n v="3"/>
    <n v="5"/>
    <s v="Courier A"/>
    <n v="0"/>
    <s v="Unknown"/>
    <n v="2"/>
    <n v="864"/>
  </r>
  <r>
    <n v="1074"/>
    <n v="5"/>
    <n v="128"/>
    <n v="3"/>
    <n v="1443"/>
    <n v="5"/>
    <x v="3"/>
    <s v="Brand5"/>
    <s v="S"/>
    <s v="Seller A"/>
    <s v="East"/>
    <n v="13"/>
    <n v="3"/>
    <n v="5"/>
    <s v="Courier A"/>
    <n v="0"/>
    <s v="Not as Expected"/>
    <n v="2"/>
    <n v="4329"/>
  </r>
  <r>
    <n v="1075"/>
    <n v="8"/>
    <n v="125"/>
    <n v="2"/>
    <n v="2405"/>
    <n v="0"/>
    <x v="2"/>
    <s v="Brand8"/>
    <s v="XL"/>
    <s v="Seller B"/>
    <s v="South"/>
    <n v="5"/>
    <n v="4"/>
    <n v="5"/>
    <s v="Courier A"/>
    <n v="0"/>
    <s v="Unknown"/>
    <n v="1"/>
    <n v="4810"/>
  </r>
  <r>
    <n v="1076"/>
    <n v="10"/>
    <n v="107"/>
    <n v="3"/>
    <n v="2724"/>
    <n v="30"/>
    <x v="3"/>
    <s v="Brand10"/>
    <s v="M"/>
    <s v="Seller C"/>
    <s v="North"/>
    <n v="7"/>
    <n v="4"/>
    <n v="3"/>
    <s v="Courier B"/>
    <n v="1"/>
    <s v="Not as Expected"/>
    <n v="-1"/>
    <n v="8172"/>
  </r>
  <r>
    <n v="1077"/>
    <n v="9"/>
    <n v="130"/>
    <n v="3"/>
    <n v="1269"/>
    <n v="30"/>
    <x v="1"/>
    <s v="Brand9"/>
    <s v="L"/>
    <s v="Seller A"/>
    <s v="East"/>
    <n v="9"/>
    <n v="6"/>
    <n v="1"/>
    <s v="Courier B"/>
    <n v="0"/>
    <s v="Unknown"/>
    <n v="-5"/>
    <n v="3807"/>
  </r>
  <r>
    <n v="1078"/>
    <n v="9"/>
    <n v="101"/>
    <n v="3"/>
    <n v="2765"/>
    <n v="0"/>
    <x v="1"/>
    <s v="Brand9"/>
    <s v="L"/>
    <s v="Seller A"/>
    <s v="West"/>
    <n v="17"/>
    <n v="6"/>
    <n v="5"/>
    <s v="Courier A"/>
    <n v="0"/>
    <s v="Unknown"/>
    <n v="-1"/>
    <n v="8295"/>
  </r>
  <r>
    <n v="1079"/>
    <n v="1"/>
    <n v="101"/>
    <n v="4"/>
    <n v="2346"/>
    <n v="30"/>
    <x v="3"/>
    <s v="Brand1"/>
    <s v="L"/>
    <s v="Seller B"/>
    <s v="West"/>
    <n v="17"/>
    <n v="3"/>
    <n v="9"/>
    <s v="Courier B"/>
    <n v="0"/>
    <s v="Unknown"/>
    <n v="6"/>
    <n v="9384"/>
  </r>
  <r>
    <n v="1080"/>
    <n v="9"/>
    <n v="125"/>
    <n v="4"/>
    <n v="1968"/>
    <n v="30"/>
    <x v="1"/>
    <s v="Brand9"/>
    <s v="L"/>
    <s v="Seller A"/>
    <s v="South"/>
    <n v="5"/>
    <n v="5"/>
    <n v="1"/>
    <s v="Courier A"/>
    <n v="1"/>
    <s v="Not as Expected"/>
    <n v="-4"/>
    <n v="7872"/>
  </r>
  <r>
    <n v="1081"/>
    <n v="7"/>
    <n v="127"/>
    <n v="3"/>
    <n v="1260"/>
    <n v="30"/>
    <x v="0"/>
    <s v="Brand7"/>
    <s v="M"/>
    <s v="Seller C"/>
    <s v="North"/>
    <n v="17"/>
    <n v="3"/>
    <n v="3"/>
    <s v="Courier A"/>
    <n v="0"/>
    <s v="Not as Expected"/>
    <n v="0"/>
    <n v="3780"/>
  </r>
  <r>
    <n v="1082"/>
    <n v="9"/>
    <n v="130"/>
    <n v="4"/>
    <n v="2527"/>
    <n v="10"/>
    <x v="1"/>
    <s v="Brand9"/>
    <s v="L"/>
    <s v="Seller A"/>
    <s v="East"/>
    <n v="9"/>
    <n v="5"/>
    <n v="4"/>
    <s v="Courier A"/>
    <n v="0"/>
    <s v="Unknown"/>
    <n v="-1"/>
    <n v="10108"/>
  </r>
  <r>
    <n v="1083"/>
    <n v="8"/>
    <n v="125"/>
    <n v="1"/>
    <n v="2744"/>
    <n v="20"/>
    <x v="2"/>
    <s v="Brand8"/>
    <s v="XL"/>
    <s v="Seller B"/>
    <s v="South"/>
    <n v="5"/>
    <n v="5"/>
    <n v="1"/>
    <s v="Courier A"/>
    <n v="0"/>
    <s v="Damaged"/>
    <n v="-4"/>
    <n v="2744"/>
  </r>
  <r>
    <n v="1084"/>
    <n v="1"/>
    <n v="120"/>
    <n v="1"/>
    <n v="501"/>
    <n v="5"/>
    <x v="3"/>
    <s v="Brand1"/>
    <s v="L"/>
    <s v="Seller B"/>
    <s v="West"/>
    <n v="16"/>
    <n v="6"/>
    <n v="1"/>
    <s v="Courier B"/>
    <n v="0"/>
    <s v="Late Delivery"/>
    <n v="-5"/>
    <n v="501"/>
  </r>
  <r>
    <n v="1085"/>
    <n v="8"/>
    <n v="113"/>
    <n v="4"/>
    <n v="380"/>
    <n v="10"/>
    <x v="2"/>
    <s v="Brand8"/>
    <s v="XL"/>
    <s v="Seller B"/>
    <s v="West"/>
    <n v="4"/>
    <n v="2"/>
    <n v="8"/>
    <s v="Courier B"/>
    <n v="0"/>
    <s v="Late Delivery"/>
    <n v="6"/>
    <n v="1520"/>
  </r>
  <r>
    <n v="1086"/>
    <n v="8"/>
    <n v="109"/>
    <n v="4"/>
    <n v="806"/>
    <n v="30"/>
    <x v="2"/>
    <s v="Brand8"/>
    <s v="XL"/>
    <s v="Seller B"/>
    <s v="North"/>
    <n v="18"/>
    <n v="2"/>
    <n v="2"/>
    <s v="Courier B"/>
    <n v="0"/>
    <s v="Late Delivery"/>
    <n v="0"/>
    <n v="3224"/>
  </r>
  <r>
    <n v="1087"/>
    <n v="3"/>
    <n v="103"/>
    <n v="3"/>
    <n v="899"/>
    <n v="0"/>
    <x v="2"/>
    <s v="Brand3"/>
    <s v="M"/>
    <s v="Seller B"/>
    <s v="West"/>
    <n v="10"/>
    <n v="4"/>
    <n v="8"/>
    <s v="Courier A"/>
    <n v="0"/>
    <s v="Not as Expected"/>
    <n v="4"/>
    <n v="2697"/>
  </r>
  <r>
    <n v="1088"/>
    <n v="1"/>
    <n v="107"/>
    <n v="2"/>
    <n v="1192"/>
    <n v="30"/>
    <x v="3"/>
    <s v="Brand1"/>
    <s v="L"/>
    <s v="Seller B"/>
    <s v="North"/>
    <n v="7"/>
    <n v="6"/>
    <n v="7"/>
    <s v="Courier B"/>
    <n v="0"/>
    <s v="Not as Expected"/>
    <n v="1"/>
    <n v="2384"/>
  </r>
  <r>
    <n v="1089"/>
    <n v="8"/>
    <n v="106"/>
    <n v="4"/>
    <n v="1339"/>
    <n v="20"/>
    <x v="2"/>
    <s v="Brand8"/>
    <s v="XL"/>
    <s v="Seller B"/>
    <s v="West"/>
    <n v="9"/>
    <n v="5"/>
    <n v="2"/>
    <s v="Courier A"/>
    <n v="0"/>
    <s v="Damaged"/>
    <n v="-3"/>
    <n v="5356"/>
  </r>
  <r>
    <n v="1090"/>
    <n v="3"/>
    <n v="108"/>
    <n v="1"/>
    <n v="390"/>
    <n v="30"/>
    <x v="2"/>
    <s v="Brand3"/>
    <s v="M"/>
    <s v="Seller B"/>
    <s v="North"/>
    <n v="4"/>
    <n v="2"/>
    <n v="6"/>
    <s v="Courier B"/>
    <n v="0"/>
    <s v="Late Delivery"/>
    <n v="4"/>
    <n v="390"/>
  </r>
  <r>
    <n v="1091"/>
    <n v="3"/>
    <n v="127"/>
    <n v="3"/>
    <n v="2500"/>
    <n v="0"/>
    <x v="2"/>
    <s v="Brand3"/>
    <s v="M"/>
    <s v="Seller B"/>
    <s v="North"/>
    <n v="17"/>
    <n v="5"/>
    <n v="6"/>
    <s v="Courier A"/>
    <n v="0"/>
    <s v="Late Delivery"/>
    <n v="1"/>
    <n v="7500"/>
  </r>
  <r>
    <n v="1092"/>
    <n v="1"/>
    <n v="109"/>
    <n v="4"/>
    <n v="1180"/>
    <n v="20"/>
    <x v="3"/>
    <s v="Brand1"/>
    <s v="L"/>
    <s v="Seller B"/>
    <s v="North"/>
    <n v="18"/>
    <n v="2"/>
    <n v="3"/>
    <s v="Courier A"/>
    <n v="0"/>
    <s v="Unknown"/>
    <n v="1"/>
    <n v="4720"/>
  </r>
  <r>
    <n v="1093"/>
    <n v="5"/>
    <n v="130"/>
    <n v="1"/>
    <n v="2206"/>
    <n v="30"/>
    <x v="3"/>
    <s v="Brand5"/>
    <s v="S"/>
    <s v="Seller A"/>
    <s v="East"/>
    <n v="9"/>
    <n v="2"/>
    <n v="2"/>
    <s v="Courier A"/>
    <n v="0"/>
    <s v="Not as Expected"/>
    <n v="0"/>
    <n v="2206"/>
  </r>
  <r>
    <n v="1094"/>
    <n v="10"/>
    <n v="105"/>
    <n v="1"/>
    <n v="1384"/>
    <n v="20"/>
    <x v="3"/>
    <s v="Brand10"/>
    <s v="M"/>
    <s v="Seller C"/>
    <s v="East"/>
    <n v="19"/>
    <n v="2"/>
    <n v="1"/>
    <s v="Courier B"/>
    <n v="0"/>
    <s v="Late Delivery"/>
    <n v="-1"/>
    <n v="1384"/>
  </r>
  <r>
    <n v="1095"/>
    <n v="7"/>
    <n v="101"/>
    <n v="2"/>
    <n v="327"/>
    <n v="5"/>
    <x v="0"/>
    <s v="Brand7"/>
    <s v="M"/>
    <s v="Seller C"/>
    <s v="West"/>
    <n v="17"/>
    <n v="6"/>
    <n v="6"/>
    <s v="Courier B"/>
    <n v="0"/>
    <s v="Damaged"/>
    <n v="0"/>
    <n v="654"/>
  </r>
  <r>
    <n v="1096"/>
    <n v="10"/>
    <n v="119"/>
    <n v="3"/>
    <n v="2265"/>
    <n v="5"/>
    <x v="3"/>
    <s v="Brand10"/>
    <s v="M"/>
    <s v="Seller C"/>
    <s v="East"/>
    <n v="3"/>
    <n v="3"/>
    <n v="5"/>
    <s v="Courier B"/>
    <n v="0"/>
    <s v="Damaged"/>
    <n v="2"/>
    <n v="6795"/>
  </r>
  <r>
    <n v="1097"/>
    <n v="9"/>
    <n v="110"/>
    <n v="3"/>
    <n v="2016"/>
    <n v="30"/>
    <x v="1"/>
    <s v="Brand9"/>
    <s v="L"/>
    <s v="Seller A"/>
    <s v="East"/>
    <n v="13"/>
    <n v="5"/>
    <n v="9"/>
    <s v="Courier B"/>
    <n v="1"/>
    <s v="Late Delivery"/>
    <n v="4"/>
    <n v="6048"/>
  </r>
  <r>
    <n v="1098"/>
    <n v="7"/>
    <n v="112"/>
    <n v="2"/>
    <n v="1958"/>
    <n v="20"/>
    <x v="0"/>
    <s v="Brand7"/>
    <s v="M"/>
    <s v="Seller C"/>
    <s v="North"/>
    <n v="4"/>
    <n v="6"/>
    <n v="1"/>
    <s v="Courier A"/>
    <n v="0"/>
    <s v="Not as Expected"/>
    <n v="-5"/>
    <n v="3916"/>
  </r>
  <r>
    <n v="1099"/>
    <n v="9"/>
    <n v="124"/>
    <n v="2"/>
    <n v="2813"/>
    <n v="0"/>
    <x v="1"/>
    <s v="Brand9"/>
    <s v="L"/>
    <s v="Seller A"/>
    <s v="East"/>
    <n v="7"/>
    <n v="6"/>
    <n v="7"/>
    <s v="Courier B"/>
    <n v="1"/>
    <s v="Damaged"/>
    <n v="1"/>
    <n v="5626"/>
  </r>
  <r>
    <n v="1100"/>
    <n v="8"/>
    <n v="115"/>
    <n v="3"/>
    <n v="769"/>
    <n v="30"/>
    <x v="2"/>
    <s v="Brand8"/>
    <s v="XL"/>
    <s v="Seller B"/>
    <s v="North"/>
    <n v="5"/>
    <n v="6"/>
    <n v="5"/>
    <s v="Courier B"/>
    <n v="0"/>
    <s v="Unknown"/>
    <n v="-1"/>
    <n v="23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Category Pivo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6" baseItem="0"/>
    <dataField name="Sum of returned" fld="1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01" totalsRowShown="0" headerRowDxfId="2" headerRowBorderDxfId="1" tableBorderDxfId="0">
  <autoFilter ref="A1:S101" xr:uid="{00000000-0009-0000-0100-000001000000}"/>
  <tableColumns count="19">
    <tableColumn id="1" xr3:uid="{00000000-0010-0000-0000-000001000000}" name="order_id"/>
    <tableColumn id="2" xr3:uid="{00000000-0010-0000-0000-000002000000}" name="product_id"/>
    <tableColumn id="3" xr3:uid="{00000000-0010-0000-0000-000003000000}" name="customer_id"/>
    <tableColumn id="4" xr3:uid="{00000000-0010-0000-0000-000004000000}" name="quantity"/>
    <tableColumn id="5" xr3:uid="{00000000-0010-0000-0000-000005000000}" name="price"/>
    <tableColumn id="6" xr3:uid="{00000000-0010-0000-0000-000006000000}" name="discount"/>
    <tableColumn id="7" xr3:uid="{00000000-0010-0000-0000-000007000000}" name="category"/>
    <tableColumn id="8" xr3:uid="{00000000-0010-0000-0000-000008000000}" name="brand"/>
    <tableColumn id="9" xr3:uid="{00000000-0010-0000-0000-000009000000}" name="size"/>
    <tableColumn id="10" xr3:uid="{00000000-0010-0000-0000-00000A000000}" name="seller"/>
    <tableColumn id="11" xr3:uid="{00000000-0010-0000-0000-00000B000000}" name="region"/>
    <tableColumn id="12" xr3:uid="{00000000-0010-0000-0000-00000C000000}" name="order_history"/>
    <tableColumn id="13" xr3:uid="{00000000-0010-0000-0000-00000D000000}" name="promised_days"/>
    <tableColumn id="14" xr3:uid="{00000000-0010-0000-0000-00000E000000}" name="delivered_days"/>
    <tableColumn id="15" xr3:uid="{00000000-0010-0000-0000-00000F000000}" name="courier"/>
    <tableColumn id="16" xr3:uid="{00000000-0010-0000-0000-000010000000}" name="returned"/>
    <tableColumn id="17" xr3:uid="{00000000-0010-0000-0000-000011000000}" name="reason"/>
    <tableColumn id="18" xr3:uid="{00000000-0010-0000-0000-000012000000}" name="delivery_delay"/>
    <tableColumn id="19" xr3:uid="{00000000-0010-0000-0000-000013000000}" name="order_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42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2" sqref="B2:L2"/>
    </sheetView>
  </sheetViews>
  <sheetFormatPr defaultRowHeight="14.4" x14ac:dyDescent="0.3"/>
  <cols>
    <col min="1" max="1" width="3" customWidth="1"/>
    <col min="2" max="2" width="22" customWidth="1"/>
    <col min="3" max="4" width="16" customWidth="1"/>
    <col min="5" max="5" width="4" customWidth="1"/>
    <col min="6" max="6" width="22" customWidth="1"/>
    <col min="7" max="8" width="16" customWidth="1"/>
    <col min="9" max="9" width="4" customWidth="1"/>
    <col min="10" max="10" width="22" customWidth="1"/>
    <col min="11" max="12" width="16" customWidth="1"/>
  </cols>
  <sheetData>
    <row r="2" spans="2:12" ht="34.049999999999997" customHeight="1" x14ac:dyDescent="0.3">
      <c r="B2" s="19" t="s">
        <v>8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2:12" x14ac:dyDescent="0.3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2:12" x14ac:dyDescent="0.3">
      <c r="B5" s="11" t="s">
        <v>9</v>
      </c>
      <c r="C5" s="11"/>
      <c r="D5" s="11"/>
      <c r="F5" s="13" t="s">
        <v>10</v>
      </c>
      <c r="G5" s="13"/>
      <c r="H5" s="13"/>
      <c r="J5" s="10" t="s">
        <v>11</v>
      </c>
      <c r="K5" s="10"/>
      <c r="L5" s="10"/>
    </row>
    <row r="6" spans="2:12" x14ac:dyDescent="0.3">
      <c r="B6" s="18">
        <f>COUNTA('Cleaned Data'!A2:A101)</f>
        <v>100</v>
      </c>
      <c r="C6" s="18"/>
      <c r="D6" s="18"/>
      <c r="F6" s="18">
        <f>SUM('Cleaned Data'!P2:P101)</f>
        <v>21</v>
      </c>
      <c r="G6" s="18"/>
      <c r="H6" s="18"/>
      <c r="J6" s="17">
        <f>IFERROR(SUM('Cleaned Data'!P2:P101)/COUNTA('Cleaned Data'!A2:A101),0)</f>
        <v>0.21</v>
      </c>
      <c r="K6" s="17"/>
      <c r="L6" s="17"/>
    </row>
    <row r="7" spans="2:12" x14ac:dyDescent="0.3">
      <c r="B7" s="12"/>
      <c r="C7" s="12"/>
      <c r="D7" s="12"/>
      <c r="F7" s="12"/>
      <c r="G7" s="12"/>
      <c r="H7" s="12"/>
      <c r="J7" s="14"/>
      <c r="K7" s="14"/>
      <c r="L7" s="14"/>
    </row>
    <row r="40" spans="2:12" ht="24" customHeight="1" x14ac:dyDescent="0.3"/>
    <row r="41" spans="2:12" ht="24" customHeight="1" x14ac:dyDescent="0.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2:12" ht="24" customHeight="1" x14ac:dyDescent="0.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</sheetData>
  <mergeCells count="10">
    <mergeCell ref="B3:L3"/>
    <mergeCell ref="B2:L2"/>
    <mergeCell ref="B42:L42"/>
    <mergeCell ref="B41:L41"/>
    <mergeCell ref="J5:L5"/>
    <mergeCell ref="B5:D5"/>
    <mergeCell ref="B6:D7"/>
    <mergeCell ref="F5:H5"/>
    <mergeCell ref="F6:H7"/>
    <mergeCell ref="J6:L7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14.88671875" bestFit="1" customWidth="1"/>
  </cols>
  <sheetData>
    <row r="3" spans="1:3" x14ac:dyDescent="0.3">
      <c r="A3" s="3" t="s">
        <v>0</v>
      </c>
      <c r="B3" t="s">
        <v>1</v>
      </c>
      <c r="C3" t="s">
        <v>2</v>
      </c>
    </row>
    <row r="4" spans="1:3" x14ac:dyDescent="0.3">
      <c r="A4" s="4" t="s">
        <v>3</v>
      </c>
      <c r="B4">
        <v>21</v>
      </c>
      <c r="C4">
        <v>9</v>
      </c>
    </row>
    <row r="5" spans="1:3" x14ac:dyDescent="0.3">
      <c r="A5" s="4" t="s">
        <v>4</v>
      </c>
      <c r="B5">
        <v>21</v>
      </c>
      <c r="C5">
        <v>1</v>
      </c>
    </row>
    <row r="6" spans="1:3" x14ac:dyDescent="0.3">
      <c r="A6" s="4" t="s">
        <v>5</v>
      </c>
      <c r="B6">
        <v>34</v>
      </c>
      <c r="C6">
        <v>8</v>
      </c>
    </row>
    <row r="7" spans="1:3" x14ac:dyDescent="0.3">
      <c r="A7" s="4" t="s">
        <v>6</v>
      </c>
      <c r="B7">
        <v>24</v>
      </c>
      <c r="C7">
        <v>3</v>
      </c>
    </row>
    <row r="8" spans="1:3" x14ac:dyDescent="0.3">
      <c r="A8" s="4" t="s">
        <v>7</v>
      </c>
      <c r="B8">
        <v>100</v>
      </c>
      <c r="C8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1"/>
  <sheetViews>
    <sheetView topLeftCell="A2" workbookViewId="0">
      <selection activeCell="A3" sqref="A3"/>
    </sheetView>
  </sheetViews>
  <sheetFormatPr defaultRowHeight="14.4" x14ac:dyDescent="0.3"/>
  <cols>
    <col min="1" max="1" width="10" customWidth="1"/>
    <col min="2" max="2" width="12.109375" customWidth="1"/>
    <col min="3" max="3" width="13.33203125" customWidth="1"/>
    <col min="4" max="4" width="10" customWidth="1"/>
    <col min="6" max="6" width="10.109375" customWidth="1"/>
    <col min="7" max="7" width="10.21875" customWidth="1"/>
    <col min="12" max="12" width="14.21875" customWidth="1"/>
    <col min="13" max="13" width="15.6640625" customWidth="1"/>
    <col min="14" max="14" width="15.5546875" customWidth="1"/>
    <col min="16" max="16" width="10.21875" customWidth="1"/>
    <col min="18" max="18" width="15.109375" customWidth="1"/>
    <col min="19" max="19" width="13" customWidth="1"/>
  </cols>
  <sheetData>
    <row r="1" spans="1:19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</row>
    <row r="2" spans="1:19" x14ac:dyDescent="0.3">
      <c r="A2">
        <v>1001</v>
      </c>
      <c r="B2">
        <v>7</v>
      </c>
      <c r="C2">
        <v>112</v>
      </c>
      <c r="D2">
        <v>3</v>
      </c>
      <c r="E2">
        <v>462</v>
      </c>
      <c r="F2">
        <v>10</v>
      </c>
      <c r="G2" t="s">
        <v>4</v>
      </c>
      <c r="H2" t="s">
        <v>31</v>
      </c>
      <c r="I2" t="s">
        <v>32</v>
      </c>
      <c r="J2" t="s">
        <v>33</v>
      </c>
      <c r="K2" t="s">
        <v>34</v>
      </c>
      <c r="L2">
        <v>4</v>
      </c>
      <c r="M2">
        <v>2</v>
      </c>
      <c r="N2">
        <v>5</v>
      </c>
      <c r="O2" t="s">
        <v>35</v>
      </c>
      <c r="P2">
        <v>0</v>
      </c>
      <c r="Q2" t="s">
        <v>36</v>
      </c>
      <c r="R2">
        <v>3</v>
      </c>
      <c r="S2">
        <v>1386</v>
      </c>
    </row>
    <row r="3" spans="1:19" x14ac:dyDescent="0.3">
      <c r="A3">
        <v>1002</v>
      </c>
      <c r="B3">
        <v>4</v>
      </c>
      <c r="C3">
        <v>102</v>
      </c>
      <c r="D3">
        <v>2</v>
      </c>
      <c r="E3">
        <v>1987</v>
      </c>
      <c r="F3">
        <v>5</v>
      </c>
      <c r="G3" t="s">
        <v>3</v>
      </c>
      <c r="H3" t="s">
        <v>37</v>
      </c>
      <c r="I3" t="s">
        <v>32</v>
      </c>
      <c r="J3" t="s">
        <v>38</v>
      </c>
      <c r="K3" t="s">
        <v>39</v>
      </c>
      <c r="L3">
        <v>8</v>
      </c>
      <c r="M3">
        <v>2</v>
      </c>
      <c r="N3">
        <v>6</v>
      </c>
      <c r="O3" t="s">
        <v>40</v>
      </c>
      <c r="P3">
        <v>0</v>
      </c>
      <c r="Q3" t="s">
        <v>41</v>
      </c>
      <c r="R3">
        <v>4</v>
      </c>
      <c r="S3">
        <v>3974</v>
      </c>
    </row>
    <row r="4" spans="1:19" x14ac:dyDescent="0.3">
      <c r="A4">
        <v>1003</v>
      </c>
      <c r="B4">
        <v>8</v>
      </c>
      <c r="C4">
        <v>101</v>
      </c>
      <c r="D4">
        <v>4</v>
      </c>
      <c r="E4">
        <v>2391</v>
      </c>
      <c r="F4">
        <v>5</v>
      </c>
      <c r="G4" t="s">
        <v>6</v>
      </c>
      <c r="H4" t="s">
        <v>42</v>
      </c>
      <c r="I4" t="s">
        <v>43</v>
      </c>
      <c r="J4" t="s">
        <v>44</v>
      </c>
      <c r="K4" t="s">
        <v>39</v>
      </c>
      <c r="L4">
        <v>17</v>
      </c>
      <c r="M4">
        <v>5</v>
      </c>
      <c r="N4">
        <v>5</v>
      </c>
      <c r="O4" t="s">
        <v>40</v>
      </c>
      <c r="P4">
        <v>1</v>
      </c>
      <c r="Q4" t="s">
        <v>41</v>
      </c>
      <c r="R4">
        <v>0</v>
      </c>
      <c r="S4">
        <v>9564</v>
      </c>
    </row>
    <row r="5" spans="1:19" x14ac:dyDescent="0.3">
      <c r="A5">
        <v>1004</v>
      </c>
      <c r="B5">
        <v>5</v>
      </c>
      <c r="C5">
        <v>116</v>
      </c>
      <c r="D5">
        <v>4</v>
      </c>
      <c r="E5">
        <v>2593</v>
      </c>
      <c r="F5">
        <v>10</v>
      </c>
      <c r="G5" t="s">
        <v>5</v>
      </c>
      <c r="H5" t="s">
        <v>45</v>
      </c>
      <c r="I5" t="s">
        <v>46</v>
      </c>
      <c r="J5" t="s">
        <v>38</v>
      </c>
      <c r="K5" t="s">
        <v>34</v>
      </c>
      <c r="L5">
        <v>9</v>
      </c>
      <c r="M5">
        <v>2</v>
      </c>
      <c r="N5">
        <v>5</v>
      </c>
      <c r="O5" t="s">
        <v>35</v>
      </c>
      <c r="P5">
        <v>0</v>
      </c>
      <c r="Q5" t="s">
        <v>41</v>
      </c>
      <c r="R5">
        <v>3</v>
      </c>
      <c r="S5">
        <v>10372</v>
      </c>
    </row>
    <row r="6" spans="1:19" x14ac:dyDescent="0.3">
      <c r="A6">
        <v>1005</v>
      </c>
      <c r="B6">
        <v>7</v>
      </c>
      <c r="C6">
        <v>123</v>
      </c>
      <c r="D6">
        <v>4</v>
      </c>
      <c r="E6">
        <v>823</v>
      </c>
      <c r="F6">
        <v>5</v>
      </c>
      <c r="G6" t="s">
        <v>4</v>
      </c>
      <c r="H6" t="s">
        <v>31</v>
      </c>
      <c r="I6" t="s">
        <v>32</v>
      </c>
      <c r="J6" t="s">
        <v>33</v>
      </c>
      <c r="K6" t="s">
        <v>39</v>
      </c>
      <c r="L6">
        <v>17</v>
      </c>
      <c r="M6">
        <v>6</v>
      </c>
      <c r="N6">
        <v>4</v>
      </c>
      <c r="O6" t="s">
        <v>35</v>
      </c>
      <c r="P6">
        <v>0</v>
      </c>
      <c r="Q6" t="s">
        <v>47</v>
      </c>
      <c r="R6">
        <v>-2</v>
      </c>
      <c r="S6">
        <v>3292</v>
      </c>
    </row>
    <row r="7" spans="1:19" x14ac:dyDescent="0.3">
      <c r="A7">
        <v>1006</v>
      </c>
      <c r="B7">
        <v>10</v>
      </c>
      <c r="C7">
        <v>123</v>
      </c>
      <c r="D7">
        <v>1</v>
      </c>
      <c r="E7">
        <v>1216</v>
      </c>
      <c r="F7">
        <v>5</v>
      </c>
      <c r="G7" t="s">
        <v>5</v>
      </c>
      <c r="H7" t="s">
        <v>48</v>
      </c>
      <c r="I7" t="s">
        <v>32</v>
      </c>
      <c r="J7" t="s">
        <v>33</v>
      </c>
      <c r="K7" t="s">
        <v>39</v>
      </c>
      <c r="L7">
        <v>17</v>
      </c>
      <c r="M7">
        <v>4</v>
      </c>
      <c r="N7">
        <v>3</v>
      </c>
      <c r="O7" t="s">
        <v>35</v>
      </c>
      <c r="P7">
        <v>1</v>
      </c>
      <c r="Q7" t="s">
        <v>47</v>
      </c>
      <c r="R7">
        <v>-1</v>
      </c>
      <c r="S7">
        <v>1216</v>
      </c>
    </row>
    <row r="8" spans="1:19" x14ac:dyDescent="0.3">
      <c r="A8">
        <v>1007</v>
      </c>
      <c r="B8">
        <v>3</v>
      </c>
      <c r="C8">
        <v>130</v>
      </c>
      <c r="D8">
        <v>4</v>
      </c>
      <c r="E8">
        <v>1080</v>
      </c>
      <c r="F8">
        <v>5</v>
      </c>
      <c r="G8" t="s">
        <v>6</v>
      </c>
      <c r="H8" t="s">
        <v>49</v>
      </c>
      <c r="I8" t="s">
        <v>32</v>
      </c>
      <c r="J8" t="s">
        <v>44</v>
      </c>
      <c r="K8" t="s">
        <v>50</v>
      </c>
      <c r="L8">
        <v>9</v>
      </c>
      <c r="M8">
        <v>4</v>
      </c>
      <c r="N8">
        <v>3</v>
      </c>
      <c r="O8" t="s">
        <v>40</v>
      </c>
      <c r="P8">
        <v>1</v>
      </c>
      <c r="Q8" t="s">
        <v>41</v>
      </c>
      <c r="R8">
        <v>-1</v>
      </c>
      <c r="S8">
        <v>4320</v>
      </c>
    </row>
    <row r="9" spans="1:19" x14ac:dyDescent="0.3">
      <c r="A9">
        <v>1008</v>
      </c>
      <c r="B9">
        <v>7</v>
      </c>
      <c r="C9">
        <v>124</v>
      </c>
      <c r="D9">
        <v>1</v>
      </c>
      <c r="E9">
        <v>2249</v>
      </c>
      <c r="F9">
        <v>0</v>
      </c>
      <c r="G9" t="s">
        <v>4</v>
      </c>
      <c r="H9" t="s">
        <v>31</v>
      </c>
      <c r="I9" t="s">
        <v>32</v>
      </c>
      <c r="J9" t="s">
        <v>33</v>
      </c>
      <c r="K9" t="s">
        <v>50</v>
      </c>
      <c r="L9">
        <v>7</v>
      </c>
      <c r="M9">
        <v>2</v>
      </c>
      <c r="N9">
        <v>4</v>
      </c>
      <c r="O9" t="s">
        <v>40</v>
      </c>
      <c r="P9">
        <v>0</v>
      </c>
      <c r="Q9" t="s">
        <v>36</v>
      </c>
      <c r="R9">
        <v>2</v>
      </c>
      <c r="S9">
        <v>2249</v>
      </c>
    </row>
    <row r="10" spans="1:19" x14ac:dyDescent="0.3">
      <c r="A10">
        <v>1009</v>
      </c>
      <c r="B10">
        <v>8</v>
      </c>
      <c r="C10">
        <v>105</v>
      </c>
      <c r="D10">
        <v>2</v>
      </c>
      <c r="E10">
        <v>1527</v>
      </c>
      <c r="F10">
        <v>0</v>
      </c>
      <c r="G10" t="s">
        <v>6</v>
      </c>
      <c r="H10" t="s">
        <v>42</v>
      </c>
      <c r="I10" t="s">
        <v>43</v>
      </c>
      <c r="J10" t="s">
        <v>44</v>
      </c>
      <c r="K10" t="s">
        <v>50</v>
      </c>
      <c r="L10">
        <v>19</v>
      </c>
      <c r="M10">
        <v>5</v>
      </c>
      <c r="N10">
        <v>9</v>
      </c>
      <c r="O10" t="s">
        <v>40</v>
      </c>
      <c r="P10">
        <v>0</v>
      </c>
      <c r="Q10" t="s">
        <v>51</v>
      </c>
      <c r="R10">
        <v>4</v>
      </c>
      <c r="S10">
        <v>3054</v>
      </c>
    </row>
    <row r="11" spans="1:19" x14ac:dyDescent="0.3">
      <c r="A11">
        <v>1010</v>
      </c>
      <c r="B11">
        <v>5</v>
      </c>
      <c r="C11">
        <v>103</v>
      </c>
      <c r="D11">
        <v>1</v>
      </c>
      <c r="E11">
        <v>2501</v>
      </c>
      <c r="F11">
        <v>0</v>
      </c>
      <c r="G11" t="s">
        <v>5</v>
      </c>
      <c r="H11" t="s">
        <v>45</v>
      </c>
      <c r="I11" t="s">
        <v>46</v>
      </c>
      <c r="J11" t="s">
        <v>38</v>
      </c>
      <c r="K11" t="s">
        <v>39</v>
      </c>
      <c r="L11">
        <v>10</v>
      </c>
      <c r="M11">
        <v>5</v>
      </c>
      <c r="N11">
        <v>2</v>
      </c>
      <c r="O11" t="s">
        <v>40</v>
      </c>
      <c r="P11">
        <v>1</v>
      </c>
      <c r="Q11" t="s">
        <v>51</v>
      </c>
      <c r="R11">
        <v>-3</v>
      </c>
      <c r="S11">
        <v>2501</v>
      </c>
    </row>
    <row r="12" spans="1:19" x14ac:dyDescent="0.3">
      <c r="A12">
        <v>1011</v>
      </c>
      <c r="B12">
        <v>4</v>
      </c>
      <c r="C12">
        <v>112</v>
      </c>
      <c r="D12">
        <v>2</v>
      </c>
      <c r="E12">
        <v>652</v>
      </c>
      <c r="F12">
        <v>10</v>
      </c>
      <c r="G12" t="s">
        <v>3</v>
      </c>
      <c r="H12" t="s">
        <v>37</v>
      </c>
      <c r="I12" t="s">
        <v>32</v>
      </c>
      <c r="J12" t="s">
        <v>38</v>
      </c>
      <c r="K12" t="s">
        <v>34</v>
      </c>
      <c r="L12">
        <v>4</v>
      </c>
      <c r="M12">
        <v>6</v>
      </c>
      <c r="N12">
        <v>9</v>
      </c>
      <c r="O12" t="s">
        <v>40</v>
      </c>
      <c r="P12">
        <v>1</v>
      </c>
      <c r="Q12" t="s">
        <v>52</v>
      </c>
      <c r="R12">
        <v>3</v>
      </c>
      <c r="S12">
        <v>1304</v>
      </c>
    </row>
    <row r="13" spans="1:19" x14ac:dyDescent="0.3">
      <c r="A13">
        <v>1012</v>
      </c>
      <c r="B13">
        <v>8</v>
      </c>
      <c r="C13">
        <v>108</v>
      </c>
      <c r="D13">
        <v>4</v>
      </c>
      <c r="E13">
        <v>1383</v>
      </c>
      <c r="F13">
        <v>30</v>
      </c>
      <c r="G13" t="s">
        <v>6</v>
      </c>
      <c r="H13" t="s">
        <v>42</v>
      </c>
      <c r="I13" t="s">
        <v>43</v>
      </c>
      <c r="J13" t="s">
        <v>44</v>
      </c>
      <c r="K13" t="s">
        <v>34</v>
      </c>
      <c r="L13">
        <v>4</v>
      </c>
      <c r="M13">
        <v>2</v>
      </c>
      <c r="N13">
        <v>1</v>
      </c>
      <c r="O13" t="s">
        <v>40</v>
      </c>
      <c r="P13">
        <v>0</v>
      </c>
      <c r="Q13" t="s">
        <v>36</v>
      </c>
      <c r="R13">
        <v>-1</v>
      </c>
      <c r="S13">
        <v>5532</v>
      </c>
    </row>
    <row r="14" spans="1:19" x14ac:dyDescent="0.3">
      <c r="A14">
        <v>1013</v>
      </c>
      <c r="B14">
        <v>8</v>
      </c>
      <c r="C14">
        <v>122</v>
      </c>
      <c r="D14">
        <v>4</v>
      </c>
      <c r="E14">
        <v>2256</v>
      </c>
      <c r="F14">
        <v>5</v>
      </c>
      <c r="G14" t="s">
        <v>6</v>
      </c>
      <c r="H14" t="s">
        <v>42</v>
      </c>
      <c r="I14" t="s">
        <v>43</v>
      </c>
      <c r="J14" t="s">
        <v>44</v>
      </c>
      <c r="K14" t="s">
        <v>34</v>
      </c>
      <c r="L14">
        <v>18</v>
      </c>
      <c r="M14">
        <v>4</v>
      </c>
      <c r="N14">
        <v>1</v>
      </c>
      <c r="O14" t="s">
        <v>40</v>
      </c>
      <c r="P14">
        <v>0</v>
      </c>
      <c r="Q14" t="s">
        <v>47</v>
      </c>
      <c r="R14">
        <v>-3</v>
      </c>
      <c r="S14">
        <v>9024</v>
      </c>
    </row>
    <row r="15" spans="1:19" x14ac:dyDescent="0.3">
      <c r="A15">
        <v>1014</v>
      </c>
      <c r="B15">
        <v>3</v>
      </c>
      <c r="C15">
        <v>127</v>
      </c>
      <c r="D15">
        <v>2</v>
      </c>
      <c r="E15">
        <v>1882</v>
      </c>
      <c r="F15">
        <v>5</v>
      </c>
      <c r="G15" t="s">
        <v>6</v>
      </c>
      <c r="H15" t="s">
        <v>49</v>
      </c>
      <c r="I15" t="s">
        <v>32</v>
      </c>
      <c r="J15" t="s">
        <v>44</v>
      </c>
      <c r="K15" t="s">
        <v>34</v>
      </c>
      <c r="L15">
        <v>17</v>
      </c>
      <c r="M15">
        <v>5</v>
      </c>
      <c r="N15">
        <v>5</v>
      </c>
      <c r="O15" t="s">
        <v>40</v>
      </c>
      <c r="P15">
        <v>0</v>
      </c>
      <c r="Q15" t="s">
        <v>41</v>
      </c>
      <c r="R15">
        <v>0</v>
      </c>
      <c r="S15">
        <v>3764</v>
      </c>
    </row>
    <row r="16" spans="1:19" x14ac:dyDescent="0.3">
      <c r="A16">
        <v>1015</v>
      </c>
      <c r="B16">
        <v>6</v>
      </c>
      <c r="C16">
        <v>103</v>
      </c>
      <c r="D16">
        <v>3</v>
      </c>
      <c r="E16">
        <v>2455</v>
      </c>
      <c r="F16">
        <v>10</v>
      </c>
      <c r="G16" t="s">
        <v>5</v>
      </c>
      <c r="H16" t="s">
        <v>53</v>
      </c>
      <c r="I16" t="s">
        <v>43</v>
      </c>
      <c r="J16" t="s">
        <v>38</v>
      </c>
      <c r="K16" t="s">
        <v>39</v>
      </c>
      <c r="L16">
        <v>10</v>
      </c>
      <c r="M16">
        <v>2</v>
      </c>
      <c r="N16">
        <v>6</v>
      </c>
      <c r="O16" t="s">
        <v>40</v>
      </c>
      <c r="P16">
        <v>0</v>
      </c>
      <c r="Q16" t="s">
        <v>52</v>
      </c>
      <c r="R16">
        <v>4</v>
      </c>
      <c r="S16">
        <v>7365</v>
      </c>
    </row>
    <row r="17" spans="1:19" x14ac:dyDescent="0.3">
      <c r="A17">
        <v>1016</v>
      </c>
      <c r="B17">
        <v>5</v>
      </c>
      <c r="C17">
        <v>101</v>
      </c>
      <c r="D17">
        <v>2</v>
      </c>
      <c r="E17">
        <v>1354</v>
      </c>
      <c r="F17">
        <v>5</v>
      </c>
      <c r="G17" t="s">
        <v>5</v>
      </c>
      <c r="H17" t="s">
        <v>45</v>
      </c>
      <c r="I17" t="s">
        <v>46</v>
      </c>
      <c r="J17" t="s">
        <v>38</v>
      </c>
      <c r="K17" t="s">
        <v>39</v>
      </c>
      <c r="L17">
        <v>17</v>
      </c>
      <c r="M17">
        <v>5</v>
      </c>
      <c r="N17">
        <v>6</v>
      </c>
      <c r="O17" t="s">
        <v>35</v>
      </c>
      <c r="P17">
        <v>0</v>
      </c>
      <c r="Q17" t="s">
        <v>51</v>
      </c>
      <c r="R17">
        <v>1</v>
      </c>
      <c r="S17">
        <v>2708</v>
      </c>
    </row>
    <row r="18" spans="1:19" x14ac:dyDescent="0.3">
      <c r="A18">
        <v>1017</v>
      </c>
      <c r="B18">
        <v>2</v>
      </c>
      <c r="C18">
        <v>103</v>
      </c>
      <c r="D18">
        <v>3</v>
      </c>
      <c r="E18">
        <v>603</v>
      </c>
      <c r="F18">
        <v>0</v>
      </c>
      <c r="G18" t="s">
        <v>4</v>
      </c>
      <c r="H18" t="s">
        <v>54</v>
      </c>
      <c r="I18" t="s">
        <v>32</v>
      </c>
      <c r="J18" t="s">
        <v>33</v>
      </c>
      <c r="K18" t="s">
        <v>39</v>
      </c>
      <c r="L18">
        <v>10</v>
      </c>
      <c r="M18">
        <v>5</v>
      </c>
      <c r="N18">
        <v>3</v>
      </c>
      <c r="O18" t="s">
        <v>35</v>
      </c>
      <c r="P18">
        <v>0</v>
      </c>
      <c r="Q18" t="s">
        <v>47</v>
      </c>
      <c r="R18">
        <v>-2</v>
      </c>
      <c r="S18">
        <v>1809</v>
      </c>
    </row>
    <row r="19" spans="1:19" x14ac:dyDescent="0.3">
      <c r="A19">
        <v>1018</v>
      </c>
      <c r="B19">
        <v>8</v>
      </c>
      <c r="C19">
        <v>105</v>
      </c>
      <c r="D19">
        <v>1</v>
      </c>
      <c r="E19">
        <v>2399</v>
      </c>
      <c r="F19">
        <v>30</v>
      </c>
      <c r="G19" t="s">
        <v>6</v>
      </c>
      <c r="H19" t="s">
        <v>42</v>
      </c>
      <c r="I19" t="s">
        <v>43</v>
      </c>
      <c r="J19" t="s">
        <v>44</v>
      </c>
      <c r="K19" t="s">
        <v>50</v>
      </c>
      <c r="L19">
        <v>19</v>
      </c>
      <c r="M19">
        <v>4</v>
      </c>
      <c r="N19">
        <v>7</v>
      </c>
      <c r="O19" t="s">
        <v>35</v>
      </c>
      <c r="P19">
        <v>0</v>
      </c>
      <c r="Q19" t="s">
        <v>47</v>
      </c>
      <c r="R19">
        <v>3</v>
      </c>
      <c r="S19">
        <v>2399</v>
      </c>
    </row>
    <row r="20" spans="1:19" x14ac:dyDescent="0.3">
      <c r="A20">
        <v>1019</v>
      </c>
      <c r="B20">
        <v>6</v>
      </c>
      <c r="C20">
        <v>115</v>
      </c>
      <c r="D20">
        <v>1</v>
      </c>
      <c r="E20">
        <v>2301</v>
      </c>
      <c r="F20">
        <v>20</v>
      </c>
      <c r="G20" t="s">
        <v>5</v>
      </c>
      <c r="H20" t="s">
        <v>53</v>
      </c>
      <c r="I20" t="s">
        <v>43</v>
      </c>
      <c r="J20" t="s">
        <v>38</v>
      </c>
      <c r="K20" t="s">
        <v>34</v>
      </c>
      <c r="L20">
        <v>5</v>
      </c>
      <c r="M20">
        <v>3</v>
      </c>
      <c r="N20">
        <v>9</v>
      </c>
      <c r="O20" t="s">
        <v>35</v>
      </c>
      <c r="P20">
        <v>1</v>
      </c>
      <c r="Q20" t="s">
        <v>41</v>
      </c>
      <c r="R20">
        <v>6</v>
      </c>
      <c r="S20">
        <v>2301</v>
      </c>
    </row>
    <row r="21" spans="1:19" x14ac:dyDescent="0.3">
      <c r="A21">
        <v>1020</v>
      </c>
      <c r="B21">
        <v>2</v>
      </c>
      <c r="C21">
        <v>114</v>
      </c>
      <c r="D21">
        <v>1</v>
      </c>
      <c r="E21">
        <v>1896</v>
      </c>
      <c r="F21">
        <v>5</v>
      </c>
      <c r="G21" t="s">
        <v>4</v>
      </c>
      <c r="H21" t="s">
        <v>54</v>
      </c>
      <c r="I21" t="s">
        <v>32</v>
      </c>
      <c r="J21" t="s">
        <v>33</v>
      </c>
      <c r="K21" t="s">
        <v>50</v>
      </c>
      <c r="L21">
        <v>10</v>
      </c>
      <c r="M21">
        <v>6</v>
      </c>
      <c r="N21">
        <v>8</v>
      </c>
      <c r="O21" t="s">
        <v>40</v>
      </c>
      <c r="P21">
        <v>0</v>
      </c>
      <c r="Q21" t="s">
        <v>51</v>
      </c>
      <c r="R21">
        <v>2</v>
      </c>
      <c r="S21">
        <v>1896</v>
      </c>
    </row>
    <row r="22" spans="1:19" x14ac:dyDescent="0.3">
      <c r="A22">
        <v>1021</v>
      </c>
      <c r="B22">
        <v>5</v>
      </c>
      <c r="C22">
        <v>103</v>
      </c>
      <c r="D22">
        <v>4</v>
      </c>
      <c r="E22">
        <v>827</v>
      </c>
      <c r="F22">
        <v>0</v>
      </c>
      <c r="G22" t="s">
        <v>5</v>
      </c>
      <c r="H22" t="s">
        <v>45</v>
      </c>
      <c r="I22" t="s">
        <v>46</v>
      </c>
      <c r="J22" t="s">
        <v>38</v>
      </c>
      <c r="K22" t="s">
        <v>39</v>
      </c>
      <c r="L22">
        <v>10</v>
      </c>
      <c r="M22">
        <v>6</v>
      </c>
      <c r="N22">
        <v>6</v>
      </c>
      <c r="O22" t="s">
        <v>40</v>
      </c>
      <c r="P22">
        <v>0</v>
      </c>
      <c r="Q22" t="s">
        <v>36</v>
      </c>
      <c r="R22">
        <v>0</v>
      </c>
      <c r="S22">
        <v>3308</v>
      </c>
    </row>
    <row r="23" spans="1:19" x14ac:dyDescent="0.3">
      <c r="A23">
        <v>1022</v>
      </c>
      <c r="B23">
        <v>1</v>
      </c>
      <c r="C23">
        <v>101</v>
      </c>
      <c r="D23">
        <v>1</v>
      </c>
      <c r="E23">
        <v>786</v>
      </c>
      <c r="F23">
        <v>20</v>
      </c>
      <c r="G23" t="s">
        <v>5</v>
      </c>
      <c r="H23" t="s">
        <v>55</v>
      </c>
      <c r="I23" t="s">
        <v>56</v>
      </c>
      <c r="J23" t="s">
        <v>44</v>
      </c>
      <c r="K23" t="s">
        <v>39</v>
      </c>
      <c r="L23">
        <v>17</v>
      </c>
      <c r="M23">
        <v>4</v>
      </c>
      <c r="N23">
        <v>8</v>
      </c>
      <c r="O23" t="s">
        <v>35</v>
      </c>
      <c r="P23">
        <v>1</v>
      </c>
      <c r="Q23" t="s">
        <v>47</v>
      </c>
      <c r="R23">
        <v>4</v>
      </c>
      <c r="S23">
        <v>786</v>
      </c>
    </row>
    <row r="24" spans="1:19" x14ac:dyDescent="0.3">
      <c r="A24">
        <v>1023</v>
      </c>
      <c r="B24">
        <v>10</v>
      </c>
      <c r="C24">
        <v>105</v>
      </c>
      <c r="D24">
        <v>3</v>
      </c>
      <c r="E24">
        <v>1848</v>
      </c>
      <c r="F24">
        <v>30</v>
      </c>
      <c r="G24" t="s">
        <v>5</v>
      </c>
      <c r="H24" t="s">
        <v>48</v>
      </c>
      <c r="I24" t="s">
        <v>32</v>
      </c>
      <c r="J24" t="s">
        <v>33</v>
      </c>
      <c r="K24" t="s">
        <v>50</v>
      </c>
      <c r="L24">
        <v>19</v>
      </c>
      <c r="M24">
        <v>5</v>
      </c>
      <c r="N24">
        <v>5</v>
      </c>
      <c r="O24" t="s">
        <v>40</v>
      </c>
      <c r="P24">
        <v>1</v>
      </c>
      <c r="Q24" t="s">
        <v>41</v>
      </c>
      <c r="R24">
        <v>0</v>
      </c>
      <c r="S24">
        <v>5544</v>
      </c>
    </row>
    <row r="25" spans="1:19" x14ac:dyDescent="0.3">
      <c r="A25">
        <v>1024</v>
      </c>
      <c r="B25">
        <v>6</v>
      </c>
      <c r="C25">
        <v>126</v>
      </c>
      <c r="D25">
        <v>1</v>
      </c>
      <c r="E25">
        <v>1643</v>
      </c>
      <c r="F25">
        <v>20</v>
      </c>
      <c r="G25" t="s">
        <v>5</v>
      </c>
      <c r="H25" t="s">
        <v>53</v>
      </c>
      <c r="I25" t="s">
        <v>43</v>
      </c>
      <c r="J25" t="s">
        <v>38</v>
      </c>
      <c r="K25" t="s">
        <v>57</v>
      </c>
      <c r="L25">
        <v>12</v>
      </c>
      <c r="M25">
        <v>2</v>
      </c>
      <c r="N25">
        <v>8</v>
      </c>
      <c r="O25" t="s">
        <v>35</v>
      </c>
      <c r="P25">
        <v>0</v>
      </c>
      <c r="Q25" t="s">
        <v>36</v>
      </c>
      <c r="R25">
        <v>6</v>
      </c>
      <c r="S25">
        <v>1643</v>
      </c>
    </row>
    <row r="26" spans="1:19" x14ac:dyDescent="0.3">
      <c r="A26">
        <v>1025</v>
      </c>
      <c r="B26">
        <v>9</v>
      </c>
      <c r="C26">
        <v>123</v>
      </c>
      <c r="D26">
        <v>2</v>
      </c>
      <c r="E26">
        <v>1645</v>
      </c>
      <c r="F26">
        <v>0</v>
      </c>
      <c r="G26" t="s">
        <v>3</v>
      </c>
      <c r="H26" t="s">
        <v>58</v>
      </c>
      <c r="I26" t="s">
        <v>56</v>
      </c>
      <c r="J26" t="s">
        <v>38</v>
      </c>
      <c r="K26" t="s">
        <v>39</v>
      </c>
      <c r="L26">
        <v>17</v>
      </c>
      <c r="M26">
        <v>5</v>
      </c>
      <c r="N26">
        <v>4</v>
      </c>
      <c r="O26" t="s">
        <v>40</v>
      </c>
      <c r="P26">
        <v>0</v>
      </c>
      <c r="Q26" t="s">
        <v>51</v>
      </c>
      <c r="R26">
        <v>-1</v>
      </c>
      <c r="S26">
        <v>3290</v>
      </c>
    </row>
    <row r="27" spans="1:19" x14ac:dyDescent="0.3">
      <c r="A27">
        <v>1026</v>
      </c>
      <c r="B27">
        <v>1</v>
      </c>
      <c r="C27">
        <v>114</v>
      </c>
      <c r="D27">
        <v>2</v>
      </c>
      <c r="E27">
        <v>303</v>
      </c>
      <c r="F27">
        <v>20</v>
      </c>
      <c r="G27" t="s">
        <v>5</v>
      </c>
      <c r="H27" t="s">
        <v>55</v>
      </c>
      <c r="I27" t="s">
        <v>56</v>
      </c>
      <c r="J27" t="s">
        <v>44</v>
      </c>
      <c r="K27" t="s">
        <v>50</v>
      </c>
      <c r="L27">
        <v>10</v>
      </c>
      <c r="M27">
        <v>4</v>
      </c>
      <c r="N27">
        <v>8</v>
      </c>
      <c r="O27" t="s">
        <v>35</v>
      </c>
      <c r="P27">
        <v>0</v>
      </c>
      <c r="Q27" t="s">
        <v>47</v>
      </c>
      <c r="R27">
        <v>4</v>
      </c>
      <c r="S27">
        <v>606</v>
      </c>
    </row>
    <row r="28" spans="1:19" x14ac:dyDescent="0.3">
      <c r="A28">
        <v>1027</v>
      </c>
      <c r="B28">
        <v>10</v>
      </c>
      <c r="C28">
        <v>107</v>
      </c>
      <c r="D28">
        <v>4</v>
      </c>
      <c r="E28">
        <v>453</v>
      </c>
      <c r="F28">
        <v>10</v>
      </c>
      <c r="G28" t="s">
        <v>5</v>
      </c>
      <c r="H28" t="s">
        <v>48</v>
      </c>
      <c r="I28" t="s">
        <v>32</v>
      </c>
      <c r="J28" t="s">
        <v>33</v>
      </c>
      <c r="K28" t="s">
        <v>34</v>
      </c>
      <c r="L28">
        <v>7</v>
      </c>
      <c r="M28">
        <v>6</v>
      </c>
      <c r="N28">
        <v>2</v>
      </c>
      <c r="O28" t="s">
        <v>40</v>
      </c>
      <c r="P28">
        <v>0</v>
      </c>
      <c r="Q28" t="s">
        <v>36</v>
      </c>
      <c r="R28">
        <v>-4</v>
      </c>
      <c r="S28">
        <v>1812</v>
      </c>
    </row>
    <row r="29" spans="1:19" x14ac:dyDescent="0.3">
      <c r="A29">
        <v>1028</v>
      </c>
      <c r="B29">
        <v>3</v>
      </c>
      <c r="C29">
        <v>127</v>
      </c>
      <c r="D29">
        <v>2</v>
      </c>
      <c r="E29">
        <v>2757</v>
      </c>
      <c r="F29">
        <v>20</v>
      </c>
      <c r="G29" t="s">
        <v>6</v>
      </c>
      <c r="H29" t="s">
        <v>49</v>
      </c>
      <c r="I29" t="s">
        <v>32</v>
      </c>
      <c r="J29" t="s">
        <v>44</v>
      </c>
      <c r="K29" t="s">
        <v>34</v>
      </c>
      <c r="L29">
        <v>17</v>
      </c>
      <c r="M29">
        <v>5</v>
      </c>
      <c r="N29">
        <v>5</v>
      </c>
      <c r="O29" t="s">
        <v>40</v>
      </c>
      <c r="P29">
        <v>0</v>
      </c>
      <c r="Q29" t="s">
        <v>36</v>
      </c>
      <c r="R29">
        <v>0</v>
      </c>
      <c r="S29">
        <v>5514</v>
      </c>
    </row>
    <row r="30" spans="1:19" x14ac:dyDescent="0.3">
      <c r="A30">
        <v>1029</v>
      </c>
      <c r="B30">
        <v>7</v>
      </c>
      <c r="C30">
        <v>109</v>
      </c>
      <c r="D30">
        <v>3</v>
      </c>
      <c r="E30">
        <v>1696</v>
      </c>
      <c r="F30">
        <v>5</v>
      </c>
      <c r="G30" t="s">
        <v>4</v>
      </c>
      <c r="H30" t="s">
        <v>31</v>
      </c>
      <c r="I30" t="s">
        <v>32</v>
      </c>
      <c r="J30" t="s">
        <v>33</v>
      </c>
      <c r="K30" t="s">
        <v>34</v>
      </c>
      <c r="L30">
        <v>18</v>
      </c>
      <c r="M30">
        <v>6</v>
      </c>
      <c r="N30">
        <v>9</v>
      </c>
      <c r="O30" t="s">
        <v>35</v>
      </c>
      <c r="P30">
        <v>0</v>
      </c>
      <c r="Q30" t="s">
        <v>36</v>
      </c>
      <c r="R30">
        <v>3</v>
      </c>
      <c r="S30">
        <v>5088</v>
      </c>
    </row>
    <row r="31" spans="1:19" x14ac:dyDescent="0.3">
      <c r="A31">
        <v>1030</v>
      </c>
      <c r="B31">
        <v>4</v>
      </c>
      <c r="C31">
        <v>115</v>
      </c>
      <c r="D31">
        <v>1</v>
      </c>
      <c r="E31">
        <v>298</v>
      </c>
      <c r="F31">
        <v>5</v>
      </c>
      <c r="G31" t="s">
        <v>3</v>
      </c>
      <c r="H31" t="s">
        <v>37</v>
      </c>
      <c r="I31" t="s">
        <v>32</v>
      </c>
      <c r="J31" t="s">
        <v>38</v>
      </c>
      <c r="K31" t="s">
        <v>34</v>
      </c>
      <c r="L31">
        <v>5</v>
      </c>
      <c r="M31">
        <v>2</v>
      </c>
      <c r="N31">
        <v>4</v>
      </c>
      <c r="O31" t="s">
        <v>40</v>
      </c>
      <c r="P31">
        <v>0</v>
      </c>
      <c r="Q31" t="s">
        <v>47</v>
      </c>
      <c r="R31">
        <v>2</v>
      </c>
      <c r="S31">
        <v>298</v>
      </c>
    </row>
    <row r="32" spans="1:19" x14ac:dyDescent="0.3">
      <c r="A32">
        <v>1031</v>
      </c>
      <c r="B32">
        <v>9</v>
      </c>
      <c r="C32">
        <v>115</v>
      </c>
      <c r="D32">
        <v>4</v>
      </c>
      <c r="E32">
        <v>2400</v>
      </c>
      <c r="F32">
        <v>10</v>
      </c>
      <c r="G32" t="s">
        <v>3</v>
      </c>
      <c r="H32" t="s">
        <v>58</v>
      </c>
      <c r="I32" t="s">
        <v>56</v>
      </c>
      <c r="J32" t="s">
        <v>38</v>
      </c>
      <c r="K32" t="s">
        <v>34</v>
      </c>
      <c r="L32">
        <v>5</v>
      </c>
      <c r="M32">
        <v>6</v>
      </c>
      <c r="N32">
        <v>6</v>
      </c>
      <c r="O32" t="s">
        <v>35</v>
      </c>
      <c r="P32">
        <v>0</v>
      </c>
      <c r="Q32" t="s">
        <v>47</v>
      </c>
      <c r="R32">
        <v>0</v>
      </c>
      <c r="S32">
        <v>9600</v>
      </c>
    </row>
    <row r="33" spans="1:19" x14ac:dyDescent="0.3">
      <c r="A33">
        <v>1032</v>
      </c>
      <c r="B33">
        <v>3</v>
      </c>
      <c r="C33">
        <v>126</v>
      </c>
      <c r="D33">
        <v>1</v>
      </c>
      <c r="E33">
        <v>2084</v>
      </c>
      <c r="F33">
        <v>0</v>
      </c>
      <c r="G33" t="s">
        <v>6</v>
      </c>
      <c r="H33" t="s">
        <v>49</v>
      </c>
      <c r="I33" t="s">
        <v>32</v>
      </c>
      <c r="J33" t="s">
        <v>44</v>
      </c>
      <c r="K33" t="s">
        <v>57</v>
      </c>
      <c r="L33">
        <v>12</v>
      </c>
      <c r="M33">
        <v>6</v>
      </c>
      <c r="N33">
        <v>1</v>
      </c>
      <c r="O33" t="s">
        <v>35</v>
      </c>
      <c r="P33">
        <v>0</v>
      </c>
      <c r="Q33" t="s">
        <v>52</v>
      </c>
      <c r="R33">
        <v>-5</v>
      </c>
      <c r="S33">
        <v>2084</v>
      </c>
    </row>
    <row r="34" spans="1:19" x14ac:dyDescent="0.3">
      <c r="A34">
        <v>1033</v>
      </c>
      <c r="B34">
        <v>5</v>
      </c>
      <c r="C34">
        <v>110</v>
      </c>
      <c r="D34">
        <v>1</v>
      </c>
      <c r="E34">
        <v>2119</v>
      </c>
      <c r="F34">
        <v>5</v>
      </c>
      <c r="G34" t="s">
        <v>5</v>
      </c>
      <c r="H34" t="s">
        <v>45</v>
      </c>
      <c r="I34" t="s">
        <v>46</v>
      </c>
      <c r="J34" t="s">
        <v>38</v>
      </c>
      <c r="K34" t="s">
        <v>50</v>
      </c>
      <c r="L34">
        <v>13</v>
      </c>
      <c r="M34">
        <v>3</v>
      </c>
      <c r="N34">
        <v>9</v>
      </c>
      <c r="O34" t="s">
        <v>35</v>
      </c>
      <c r="P34">
        <v>0</v>
      </c>
      <c r="Q34" t="s">
        <v>51</v>
      </c>
      <c r="R34">
        <v>6</v>
      </c>
      <c r="S34">
        <v>2119</v>
      </c>
    </row>
    <row r="35" spans="1:19" x14ac:dyDescent="0.3">
      <c r="A35">
        <v>1034</v>
      </c>
      <c r="B35">
        <v>3</v>
      </c>
      <c r="C35">
        <v>128</v>
      </c>
      <c r="D35">
        <v>3</v>
      </c>
      <c r="E35">
        <v>1077</v>
      </c>
      <c r="F35">
        <v>30</v>
      </c>
      <c r="G35" t="s">
        <v>6</v>
      </c>
      <c r="H35" t="s">
        <v>49</v>
      </c>
      <c r="I35" t="s">
        <v>32</v>
      </c>
      <c r="J35" t="s">
        <v>44</v>
      </c>
      <c r="K35" t="s">
        <v>50</v>
      </c>
      <c r="L35">
        <v>13</v>
      </c>
      <c r="M35">
        <v>3</v>
      </c>
      <c r="N35">
        <v>1</v>
      </c>
      <c r="O35" t="s">
        <v>35</v>
      </c>
      <c r="P35">
        <v>0</v>
      </c>
      <c r="Q35" t="s">
        <v>41</v>
      </c>
      <c r="R35">
        <v>-2</v>
      </c>
      <c r="S35">
        <v>3231</v>
      </c>
    </row>
    <row r="36" spans="1:19" x14ac:dyDescent="0.3">
      <c r="A36">
        <v>1035</v>
      </c>
      <c r="B36">
        <v>7</v>
      </c>
      <c r="C36">
        <v>113</v>
      </c>
      <c r="D36">
        <v>2</v>
      </c>
      <c r="E36">
        <v>537</v>
      </c>
      <c r="F36">
        <v>5</v>
      </c>
      <c r="G36" t="s">
        <v>4</v>
      </c>
      <c r="H36" t="s">
        <v>31</v>
      </c>
      <c r="I36" t="s">
        <v>32</v>
      </c>
      <c r="J36" t="s">
        <v>33</v>
      </c>
      <c r="K36" t="s">
        <v>39</v>
      </c>
      <c r="L36">
        <v>4</v>
      </c>
      <c r="M36">
        <v>3</v>
      </c>
      <c r="N36">
        <v>5</v>
      </c>
      <c r="O36" t="s">
        <v>40</v>
      </c>
      <c r="P36">
        <v>0</v>
      </c>
      <c r="Q36" t="s">
        <v>36</v>
      </c>
      <c r="R36">
        <v>2</v>
      </c>
      <c r="S36">
        <v>1074</v>
      </c>
    </row>
    <row r="37" spans="1:19" x14ac:dyDescent="0.3">
      <c r="A37">
        <v>1036</v>
      </c>
      <c r="B37">
        <v>5</v>
      </c>
      <c r="C37">
        <v>119</v>
      </c>
      <c r="D37">
        <v>2</v>
      </c>
      <c r="E37">
        <v>1156</v>
      </c>
      <c r="F37">
        <v>5</v>
      </c>
      <c r="G37" t="s">
        <v>5</v>
      </c>
      <c r="H37" t="s">
        <v>45</v>
      </c>
      <c r="I37" t="s">
        <v>46</v>
      </c>
      <c r="J37" t="s">
        <v>38</v>
      </c>
      <c r="K37" t="s">
        <v>50</v>
      </c>
      <c r="L37">
        <v>3</v>
      </c>
      <c r="M37">
        <v>6</v>
      </c>
      <c r="N37">
        <v>4</v>
      </c>
      <c r="O37" t="s">
        <v>40</v>
      </c>
      <c r="P37">
        <v>0</v>
      </c>
      <c r="Q37" t="s">
        <v>52</v>
      </c>
      <c r="R37">
        <v>-2</v>
      </c>
      <c r="S37">
        <v>2312</v>
      </c>
    </row>
    <row r="38" spans="1:19" x14ac:dyDescent="0.3">
      <c r="A38">
        <v>1037</v>
      </c>
      <c r="B38">
        <v>9</v>
      </c>
      <c r="C38">
        <v>107</v>
      </c>
      <c r="D38">
        <v>1</v>
      </c>
      <c r="E38">
        <v>1904</v>
      </c>
      <c r="F38">
        <v>0</v>
      </c>
      <c r="G38" t="s">
        <v>3</v>
      </c>
      <c r="H38" t="s">
        <v>58</v>
      </c>
      <c r="I38" t="s">
        <v>56</v>
      </c>
      <c r="J38" t="s">
        <v>38</v>
      </c>
      <c r="K38" t="s">
        <v>34</v>
      </c>
      <c r="L38">
        <v>7</v>
      </c>
      <c r="M38">
        <v>4</v>
      </c>
      <c r="N38">
        <v>3</v>
      </c>
      <c r="O38" t="s">
        <v>40</v>
      </c>
      <c r="P38">
        <v>1</v>
      </c>
      <c r="Q38" t="s">
        <v>41</v>
      </c>
      <c r="R38">
        <v>-1</v>
      </c>
      <c r="S38">
        <v>1904</v>
      </c>
    </row>
    <row r="39" spans="1:19" x14ac:dyDescent="0.3">
      <c r="A39">
        <v>1038</v>
      </c>
      <c r="B39">
        <v>7</v>
      </c>
      <c r="C39">
        <v>117</v>
      </c>
      <c r="D39">
        <v>4</v>
      </c>
      <c r="E39">
        <v>360</v>
      </c>
      <c r="F39">
        <v>20</v>
      </c>
      <c r="G39" t="s">
        <v>4</v>
      </c>
      <c r="H39" t="s">
        <v>31</v>
      </c>
      <c r="I39" t="s">
        <v>32</v>
      </c>
      <c r="J39" t="s">
        <v>33</v>
      </c>
      <c r="K39" t="s">
        <v>39</v>
      </c>
      <c r="L39">
        <v>3</v>
      </c>
      <c r="M39">
        <v>6</v>
      </c>
      <c r="N39">
        <v>6</v>
      </c>
      <c r="O39" t="s">
        <v>35</v>
      </c>
      <c r="P39">
        <v>0</v>
      </c>
      <c r="Q39" t="s">
        <v>52</v>
      </c>
      <c r="R39">
        <v>0</v>
      </c>
      <c r="S39">
        <v>1440</v>
      </c>
    </row>
    <row r="40" spans="1:19" x14ac:dyDescent="0.3">
      <c r="A40">
        <v>1039</v>
      </c>
      <c r="B40">
        <v>2</v>
      </c>
      <c r="C40">
        <v>120</v>
      </c>
      <c r="D40">
        <v>2</v>
      </c>
      <c r="E40">
        <v>1803</v>
      </c>
      <c r="F40">
        <v>5</v>
      </c>
      <c r="G40" t="s">
        <v>4</v>
      </c>
      <c r="H40" t="s">
        <v>54</v>
      </c>
      <c r="I40" t="s">
        <v>32</v>
      </c>
      <c r="J40" t="s">
        <v>33</v>
      </c>
      <c r="K40" t="s">
        <v>39</v>
      </c>
      <c r="L40">
        <v>16</v>
      </c>
      <c r="M40">
        <v>4</v>
      </c>
      <c r="N40">
        <v>2</v>
      </c>
      <c r="O40" t="s">
        <v>40</v>
      </c>
      <c r="P40">
        <v>0</v>
      </c>
      <c r="Q40" t="s">
        <v>47</v>
      </c>
      <c r="R40">
        <v>-2</v>
      </c>
      <c r="S40">
        <v>3606</v>
      </c>
    </row>
    <row r="41" spans="1:19" x14ac:dyDescent="0.3">
      <c r="A41">
        <v>1040</v>
      </c>
      <c r="B41">
        <v>4</v>
      </c>
      <c r="C41">
        <v>129</v>
      </c>
      <c r="D41">
        <v>4</v>
      </c>
      <c r="E41">
        <v>597</v>
      </c>
      <c r="F41">
        <v>10</v>
      </c>
      <c r="G41" t="s">
        <v>3</v>
      </c>
      <c r="H41" t="s">
        <v>37</v>
      </c>
      <c r="I41" t="s">
        <v>32</v>
      </c>
      <c r="J41" t="s">
        <v>38</v>
      </c>
      <c r="K41" t="s">
        <v>57</v>
      </c>
      <c r="L41">
        <v>3</v>
      </c>
      <c r="M41">
        <v>4</v>
      </c>
      <c r="N41">
        <v>3</v>
      </c>
      <c r="O41" t="s">
        <v>35</v>
      </c>
      <c r="P41">
        <v>1</v>
      </c>
      <c r="Q41" t="s">
        <v>36</v>
      </c>
      <c r="R41">
        <v>-1</v>
      </c>
      <c r="S41">
        <v>2388</v>
      </c>
    </row>
    <row r="42" spans="1:19" x14ac:dyDescent="0.3">
      <c r="A42">
        <v>1041</v>
      </c>
      <c r="B42">
        <v>9</v>
      </c>
      <c r="C42">
        <v>104</v>
      </c>
      <c r="D42">
        <v>2</v>
      </c>
      <c r="E42">
        <v>1500</v>
      </c>
      <c r="F42">
        <v>20</v>
      </c>
      <c r="G42" t="s">
        <v>3</v>
      </c>
      <c r="H42" t="s">
        <v>58</v>
      </c>
      <c r="I42" t="s">
        <v>56</v>
      </c>
      <c r="J42" t="s">
        <v>38</v>
      </c>
      <c r="K42" t="s">
        <v>57</v>
      </c>
      <c r="L42">
        <v>2</v>
      </c>
      <c r="M42">
        <v>3</v>
      </c>
      <c r="N42">
        <v>5</v>
      </c>
      <c r="O42" t="s">
        <v>40</v>
      </c>
      <c r="P42">
        <v>0</v>
      </c>
      <c r="Q42" t="s">
        <v>41</v>
      </c>
      <c r="R42">
        <v>2</v>
      </c>
      <c r="S42">
        <v>3000</v>
      </c>
    </row>
    <row r="43" spans="1:19" x14ac:dyDescent="0.3">
      <c r="A43">
        <v>1042</v>
      </c>
      <c r="B43">
        <v>2</v>
      </c>
      <c r="C43">
        <v>130</v>
      </c>
      <c r="D43">
        <v>4</v>
      </c>
      <c r="E43">
        <v>1015</v>
      </c>
      <c r="F43">
        <v>30</v>
      </c>
      <c r="G43" t="s">
        <v>4</v>
      </c>
      <c r="H43" t="s">
        <v>54</v>
      </c>
      <c r="I43" t="s">
        <v>32</v>
      </c>
      <c r="J43" t="s">
        <v>33</v>
      </c>
      <c r="K43" t="s">
        <v>50</v>
      </c>
      <c r="L43">
        <v>9</v>
      </c>
      <c r="M43">
        <v>5</v>
      </c>
      <c r="N43">
        <v>9</v>
      </c>
      <c r="O43" t="s">
        <v>40</v>
      </c>
      <c r="P43">
        <v>0</v>
      </c>
      <c r="Q43" t="s">
        <v>41</v>
      </c>
      <c r="R43">
        <v>4</v>
      </c>
      <c r="S43">
        <v>4060</v>
      </c>
    </row>
    <row r="44" spans="1:19" x14ac:dyDescent="0.3">
      <c r="A44">
        <v>1043</v>
      </c>
      <c r="B44">
        <v>10</v>
      </c>
      <c r="C44">
        <v>105</v>
      </c>
      <c r="D44">
        <v>3</v>
      </c>
      <c r="E44">
        <v>1727</v>
      </c>
      <c r="F44">
        <v>0</v>
      </c>
      <c r="G44" t="s">
        <v>5</v>
      </c>
      <c r="H44" t="s">
        <v>48</v>
      </c>
      <c r="I44" t="s">
        <v>32</v>
      </c>
      <c r="J44" t="s">
        <v>33</v>
      </c>
      <c r="K44" t="s">
        <v>50</v>
      </c>
      <c r="L44">
        <v>19</v>
      </c>
      <c r="M44">
        <v>2</v>
      </c>
      <c r="N44">
        <v>2</v>
      </c>
      <c r="O44" t="s">
        <v>40</v>
      </c>
      <c r="P44">
        <v>0</v>
      </c>
      <c r="Q44" t="s">
        <v>41</v>
      </c>
      <c r="R44">
        <v>0</v>
      </c>
      <c r="S44">
        <v>5181</v>
      </c>
    </row>
    <row r="45" spans="1:19" x14ac:dyDescent="0.3">
      <c r="A45">
        <v>1044</v>
      </c>
      <c r="B45">
        <v>9</v>
      </c>
      <c r="C45">
        <v>123</v>
      </c>
      <c r="D45">
        <v>4</v>
      </c>
      <c r="E45">
        <v>2119</v>
      </c>
      <c r="F45">
        <v>30</v>
      </c>
      <c r="G45" t="s">
        <v>3</v>
      </c>
      <c r="H45" t="s">
        <v>58</v>
      </c>
      <c r="I45" t="s">
        <v>56</v>
      </c>
      <c r="J45" t="s">
        <v>38</v>
      </c>
      <c r="K45" t="s">
        <v>39</v>
      </c>
      <c r="L45">
        <v>17</v>
      </c>
      <c r="M45">
        <v>3</v>
      </c>
      <c r="N45">
        <v>8</v>
      </c>
      <c r="O45" t="s">
        <v>35</v>
      </c>
      <c r="P45">
        <v>0</v>
      </c>
      <c r="Q45" t="s">
        <v>41</v>
      </c>
      <c r="R45">
        <v>5</v>
      </c>
      <c r="S45">
        <v>8476</v>
      </c>
    </row>
    <row r="46" spans="1:19" x14ac:dyDescent="0.3">
      <c r="A46">
        <v>1045</v>
      </c>
      <c r="B46">
        <v>10</v>
      </c>
      <c r="C46">
        <v>107</v>
      </c>
      <c r="D46">
        <v>3</v>
      </c>
      <c r="E46">
        <v>1615</v>
      </c>
      <c r="F46">
        <v>20</v>
      </c>
      <c r="G46" t="s">
        <v>5</v>
      </c>
      <c r="H46" t="s">
        <v>48</v>
      </c>
      <c r="I46" t="s">
        <v>32</v>
      </c>
      <c r="J46" t="s">
        <v>33</v>
      </c>
      <c r="K46" t="s">
        <v>34</v>
      </c>
      <c r="L46">
        <v>7</v>
      </c>
      <c r="M46">
        <v>3</v>
      </c>
      <c r="N46">
        <v>2</v>
      </c>
      <c r="O46" t="s">
        <v>40</v>
      </c>
      <c r="P46">
        <v>1</v>
      </c>
      <c r="Q46" t="s">
        <v>41</v>
      </c>
      <c r="R46">
        <v>-1</v>
      </c>
      <c r="S46">
        <v>4845</v>
      </c>
    </row>
    <row r="47" spans="1:19" x14ac:dyDescent="0.3">
      <c r="A47">
        <v>1046</v>
      </c>
      <c r="B47">
        <v>5</v>
      </c>
      <c r="C47">
        <v>113</v>
      </c>
      <c r="D47">
        <v>3</v>
      </c>
      <c r="E47">
        <v>1358</v>
      </c>
      <c r="F47">
        <v>20</v>
      </c>
      <c r="G47" t="s">
        <v>5</v>
      </c>
      <c r="H47" t="s">
        <v>45</v>
      </c>
      <c r="I47" t="s">
        <v>46</v>
      </c>
      <c r="J47" t="s">
        <v>38</v>
      </c>
      <c r="K47" t="s">
        <v>39</v>
      </c>
      <c r="L47">
        <v>4</v>
      </c>
      <c r="M47">
        <v>5</v>
      </c>
      <c r="N47">
        <v>5</v>
      </c>
      <c r="O47" t="s">
        <v>40</v>
      </c>
      <c r="P47">
        <v>0</v>
      </c>
      <c r="Q47" t="s">
        <v>52</v>
      </c>
      <c r="R47">
        <v>0</v>
      </c>
      <c r="S47">
        <v>4074</v>
      </c>
    </row>
    <row r="48" spans="1:19" x14ac:dyDescent="0.3">
      <c r="A48">
        <v>1047</v>
      </c>
      <c r="B48">
        <v>2</v>
      </c>
      <c r="C48">
        <v>115</v>
      </c>
      <c r="D48">
        <v>4</v>
      </c>
      <c r="E48">
        <v>1418</v>
      </c>
      <c r="F48">
        <v>20</v>
      </c>
      <c r="G48" t="s">
        <v>4</v>
      </c>
      <c r="H48" t="s">
        <v>54</v>
      </c>
      <c r="I48" t="s">
        <v>32</v>
      </c>
      <c r="J48" t="s">
        <v>33</v>
      </c>
      <c r="K48" t="s">
        <v>34</v>
      </c>
      <c r="L48">
        <v>5</v>
      </c>
      <c r="M48">
        <v>2</v>
      </c>
      <c r="N48">
        <v>7</v>
      </c>
      <c r="O48" t="s">
        <v>35</v>
      </c>
      <c r="P48">
        <v>0</v>
      </c>
      <c r="Q48" t="s">
        <v>36</v>
      </c>
      <c r="R48">
        <v>5</v>
      </c>
      <c r="S48">
        <v>5672</v>
      </c>
    </row>
    <row r="49" spans="1:19" x14ac:dyDescent="0.3">
      <c r="A49">
        <v>1048</v>
      </c>
      <c r="B49">
        <v>4</v>
      </c>
      <c r="C49">
        <v>111</v>
      </c>
      <c r="D49">
        <v>3</v>
      </c>
      <c r="E49">
        <v>600</v>
      </c>
      <c r="F49">
        <v>30</v>
      </c>
      <c r="G49" t="s">
        <v>3</v>
      </c>
      <c r="H49" t="s">
        <v>37</v>
      </c>
      <c r="I49" t="s">
        <v>32</v>
      </c>
      <c r="J49" t="s">
        <v>38</v>
      </c>
      <c r="K49" t="s">
        <v>50</v>
      </c>
      <c r="L49">
        <v>11</v>
      </c>
      <c r="M49">
        <v>6</v>
      </c>
      <c r="N49">
        <v>8</v>
      </c>
      <c r="O49" t="s">
        <v>40</v>
      </c>
      <c r="P49">
        <v>0</v>
      </c>
      <c r="Q49" t="s">
        <v>47</v>
      </c>
      <c r="R49">
        <v>2</v>
      </c>
      <c r="S49">
        <v>1800</v>
      </c>
    </row>
    <row r="50" spans="1:19" x14ac:dyDescent="0.3">
      <c r="A50">
        <v>1049</v>
      </c>
      <c r="B50">
        <v>7</v>
      </c>
      <c r="C50">
        <v>129</v>
      </c>
      <c r="D50">
        <v>1</v>
      </c>
      <c r="E50">
        <v>839</v>
      </c>
      <c r="F50">
        <v>20</v>
      </c>
      <c r="G50" t="s">
        <v>4</v>
      </c>
      <c r="H50" t="s">
        <v>31</v>
      </c>
      <c r="I50" t="s">
        <v>32</v>
      </c>
      <c r="J50" t="s">
        <v>33</v>
      </c>
      <c r="K50" t="s">
        <v>57</v>
      </c>
      <c r="L50">
        <v>3</v>
      </c>
      <c r="M50">
        <v>6</v>
      </c>
      <c r="N50">
        <v>1</v>
      </c>
      <c r="O50" t="s">
        <v>35</v>
      </c>
      <c r="P50">
        <v>0</v>
      </c>
      <c r="Q50" t="s">
        <v>47</v>
      </c>
      <c r="R50">
        <v>-5</v>
      </c>
      <c r="S50">
        <v>839</v>
      </c>
    </row>
    <row r="51" spans="1:19" x14ac:dyDescent="0.3">
      <c r="A51">
        <v>1050</v>
      </c>
      <c r="B51">
        <v>8</v>
      </c>
      <c r="C51">
        <v>104</v>
      </c>
      <c r="D51">
        <v>3</v>
      </c>
      <c r="E51">
        <v>2935</v>
      </c>
      <c r="F51">
        <v>30</v>
      </c>
      <c r="G51" t="s">
        <v>6</v>
      </c>
      <c r="H51" t="s">
        <v>42</v>
      </c>
      <c r="I51" t="s">
        <v>43</v>
      </c>
      <c r="J51" t="s">
        <v>44</v>
      </c>
      <c r="K51" t="s">
        <v>57</v>
      </c>
      <c r="L51">
        <v>2</v>
      </c>
      <c r="M51">
        <v>3</v>
      </c>
      <c r="N51">
        <v>6</v>
      </c>
      <c r="O51" t="s">
        <v>40</v>
      </c>
      <c r="P51">
        <v>0</v>
      </c>
      <c r="Q51" t="s">
        <v>47</v>
      </c>
      <c r="R51">
        <v>3</v>
      </c>
      <c r="S51">
        <v>8805</v>
      </c>
    </row>
    <row r="52" spans="1:19" x14ac:dyDescent="0.3">
      <c r="A52">
        <v>1051</v>
      </c>
      <c r="B52">
        <v>3</v>
      </c>
      <c r="C52">
        <v>113</v>
      </c>
      <c r="D52">
        <v>2</v>
      </c>
      <c r="E52">
        <v>659</v>
      </c>
      <c r="F52">
        <v>20</v>
      </c>
      <c r="G52" t="s">
        <v>6</v>
      </c>
      <c r="H52" t="s">
        <v>49</v>
      </c>
      <c r="I52" t="s">
        <v>32</v>
      </c>
      <c r="J52" t="s">
        <v>44</v>
      </c>
      <c r="K52" t="s">
        <v>39</v>
      </c>
      <c r="L52">
        <v>4</v>
      </c>
      <c r="M52">
        <v>2</v>
      </c>
      <c r="N52">
        <v>1</v>
      </c>
      <c r="O52" t="s">
        <v>35</v>
      </c>
      <c r="P52">
        <v>0</v>
      </c>
      <c r="Q52" t="s">
        <v>47</v>
      </c>
      <c r="R52">
        <v>-1</v>
      </c>
      <c r="S52">
        <v>1318</v>
      </c>
    </row>
    <row r="53" spans="1:19" x14ac:dyDescent="0.3">
      <c r="A53">
        <v>1052</v>
      </c>
      <c r="B53">
        <v>1</v>
      </c>
      <c r="C53">
        <v>107</v>
      </c>
      <c r="D53">
        <v>4</v>
      </c>
      <c r="E53">
        <v>1154</v>
      </c>
      <c r="F53">
        <v>10</v>
      </c>
      <c r="G53" t="s">
        <v>5</v>
      </c>
      <c r="H53" t="s">
        <v>55</v>
      </c>
      <c r="I53" t="s">
        <v>56</v>
      </c>
      <c r="J53" t="s">
        <v>44</v>
      </c>
      <c r="K53" t="s">
        <v>34</v>
      </c>
      <c r="L53">
        <v>7</v>
      </c>
      <c r="M53">
        <v>3</v>
      </c>
      <c r="N53">
        <v>2</v>
      </c>
      <c r="O53" t="s">
        <v>35</v>
      </c>
      <c r="P53">
        <v>0</v>
      </c>
      <c r="Q53" t="s">
        <v>52</v>
      </c>
      <c r="R53">
        <v>-1</v>
      </c>
      <c r="S53">
        <v>4616</v>
      </c>
    </row>
    <row r="54" spans="1:19" x14ac:dyDescent="0.3">
      <c r="A54">
        <v>1053</v>
      </c>
      <c r="B54">
        <v>4</v>
      </c>
      <c r="C54">
        <v>127</v>
      </c>
      <c r="D54">
        <v>1</v>
      </c>
      <c r="E54">
        <v>669</v>
      </c>
      <c r="F54">
        <v>20</v>
      </c>
      <c r="G54" t="s">
        <v>3</v>
      </c>
      <c r="H54" t="s">
        <v>37</v>
      </c>
      <c r="I54" t="s">
        <v>32</v>
      </c>
      <c r="J54" t="s">
        <v>38</v>
      </c>
      <c r="K54" t="s">
        <v>34</v>
      </c>
      <c r="L54">
        <v>17</v>
      </c>
      <c r="M54">
        <v>4</v>
      </c>
      <c r="N54">
        <v>1</v>
      </c>
      <c r="O54" t="s">
        <v>40</v>
      </c>
      <c r="P54">
        <v>1</v>
      </c>
      <c r="Q54" t="s">
        <v>51</v>
      </c>
      <c r="R54">
        <v>-3</v>
      </c>
      <c r="S54">
        <v>669</v>
      </c>
    </row>
    <row r="55" spans="1:19" x14ac:dyDescent="0.3">
      <c r="A55">
        <v>1054</v>
      </c>
      <c r="B55">
        <v>2</v>
      </c>
      <c r="C55">
        <v>119</v>
      </c>
      <c r="D55">
        <v>4</v>
      </c>
      <c r="E55">
        <v>1245</v>
      </c>
      <c r="F55">
        <v>30</v>
      </c>
      <c r="G55" t="s">
        <v>4</v>
      </c>
      <c r="H55" t="s">
        <v>54</v>
      </c>
      <c r="I55" t="s">
        <v>32</v>
      </c>
      <c r="J55" t="s">
        <v>33</v>
      </c>
      <c r="K55" t="s">
        <v>50</v>
      </c>
      <c r="L55">
        <v>3</v>
      </c>
      <c r="M55">
        <v>3</v>
      </c>
      <c r="N55">
        <v>5</v>
      </c>
      <c r="O55" t="s">
        <v>35</v>
      </c>
      <c r="P55">
        <v>0</v>
      </c>
      <c r="Q55" t="s">
        <v>36</v>
      </c>
      <c r="R55">
        <v>2</v>
      </c>
      <c r="S55">
        <v>4980</v>
      </c>
    </row>
    <row r="56" spans="1:19" x14ac:dyDescent="0.3">
      <c r="A56">
        <v>1055</v>
      </c>
      <c r="B56">
        <v>8</v>
      </c>
      <c r="C56">
        <v>122</v>
      </c>
      <c r="D56">
        <v>2</v>
      </c>
      <c r="E56">
        <v>2997</v>
      </c>
      <c r="F56">
        <v>5</v>
      </c>
      <c r="G56" t="s">
        <v>6</v>
      </c>
      <c r="H56" t="s">
        <v>42</v>
      </c>
      <c r="I56" t="s">
        <v>43</v>
      </c>
      <c r="J56" t="s">
        <v>44</v>
      </c>
      <c r="K56" t="s">
        <v>34</v>
      </c>
      <c r="L56">
        <v>18</v>
      </c>
      <c r="M56">
        <v>3</v>
      </c>
      <c r="N56">
        <v>9</v>
      </c>
      <c r="O56" t="s">
        <v>35</v>
      </c>
      <c r="P56">
        <v>0</v>
      </c>
      <c r="Q56" t="s">
        <v>41</v>
      </c>
      <c r="R56">
        <v>6</v>
      </c>
      <c r="S56">
        <v>5994</v>
      </c>
    </row>
    <row r="57" spans="1:19" x14ac:dyDescent="0.3">
      <c r="A57">
        <v>1056</v>
      </c>
      <c r="B57">
        <v>4</v>
      </c>
      <c r="C57">
        <v>128</v>
      </c>
      <c r="D57">
        <v>2</v>
      </c>
      <c r="E57">
        <v>1893</v>
      </c>
      <c r="F57">
        <v>20</v>
      </c>
      <c r="G57" t="s">
        <v>3</v>
      </c>
      <c r="H57" t="s">
        <v>37</v>
      </c>
      <c r="I57" t="s">
        <v>32</v>
      </c>
      <c r="J57" t="s">
        <v>38</v>
      </c>
      <c r="K57" t="s">
        <v>50</v>
      </c>
      <c r="L57">
        <v>13</v>
      </c>
      <c r="M57">
        <v>6</v>
      </c>
      <c r="N57">
        <v>6</v>
      </c>
      <c r="O57" t="s">
        <v>35</v>
      </c>
      <c r="P57">
        <v>0</v>
      </c>
      <c r="Q57" t="s">
        <v>51</v>
      </c>
      <c r="R57">
        <v>0</v>
      </c>
      <c r="S57">
        <v>3786</v>
      </c>
    </row>
    <row r="58" spans="1:19" x14ac:dyDescent="0.3">
      <c r="A58">
        <v>1057</v>
      </c>
      <c r="B58">
        <v>2</v>
      </c>
      <c r="C58">
        <v>102</v>
      </c>
      <c r="D58">
        <v>2</v>
      </c>
      <c r="E58">
        <v>2285</v>
      </c>
      <c r="F58">
        <v>5</v>
      </c>
      <c r="G58" t="s">
        <v>4</v>
      </c>
      <c r="H58" t="s">
        <v>54</v>
      </c>
      <c r="I58" t="s">
        <v>32</v>
      </c>
      <c r="J58" t="s">
        <v>33</v>
      </c>
      <c r="K58" t="s">
        <v>39</v>
      </c>
      <c r="L58">
        <v>8</v>
      </c>
      <c r="M58">
        <v>6</v>
      </c>
      <c r="N58">
        <v>1</v>
      </c>
      <c r="O58" t="s">
        <v>35</v>
      </c>
      <c r="P58">
        <v>0</v>
      </c>
      <c r="Q58" t="s">
        <v>47</v>
      </c>
      <c r="R58">
        <v>-5</v>
      </c>
      <c r="S58">
        <v>4570</v>
      </c>
    </row>
    <row r="59" spans="1:19" x14ac:dyDescent="0.3">
      <c r="A59">
        <v>1058</v>
      </c>
      <c r="B59">
        <v>6</v>
      </c>
      <c r="C59">
        <v>110</v>
      </c>
      <c r="D59">
        <v>3</v>
      </c>
      <c r="E59">
        <v>2477</v>
      </c>
      <c r="F59">
        <v>10</v>
      </c>
      <c r="G59" t="s">
        <v>5</v>
      </c>
      <c r="H59" t="s">
        <v>53</v>
      </c>
      <c r="I59" t="s">
        <v>43</v>
      </c>
      <c r="J59" t="s">
        <v>38</v>
      </c>
      <c r="K59" t="s">
        <v>50</v>
      </c>
      <c r="L59">
        <v>13</v>
      </c>
      <c r="M59">
        <v>6</v>
      </c>
      <c r="N59">
        <v>1</v>
      </c>
      <c r="O59" t="s">
        <v>35</v>
      </c>
      <c r="P59">
        <v>0</v>
      </c>
      <c r="Q59" t="s">
        <v>51</v>
      </c>
      <c r="R59">
        <v>-5</v>
      </c>
      <c r="S59">
        <v>7431</v>
      </c>
    </row>
    <row r="60" spans="1:19" x14ac:dyDescent="0.3">
      <c r="A60">
        <v>1059</v>
      </c>
      <c r="B60">
        <v>6</v>
      </c>
      <c r="C60">
        <v>113</v>
      </c>
      <c r="D60">
        <v>3</v>
      </c>
      <c r="E60">
        <v>762</v>
      </c>
      <c r="F60">
        <v>0</v>
      </c>
      <c r="G60" t="s">
        <v>5</v>
      </c>
      <c r="H60" t="s">
        <v>53</v>
      </c>
      <c r="I60" t="s">
        <v>43</v>
      </c>
      <c r="J60" t="s">
        <v>38</v>
      </c>
      <c r="K60" t="s">
        <v>39</v>
      </c>
      <c r="L60">
        <v>4</v>
      </c>
      <c r="M60">
        <v>4</v>
      </c>
      <c r="N60">
        <v>2</v>
      </c>
      <c r="O60" t="s">
        <v>35</v>
      </c>
      <c r="P60">
        <v>0</v>
      </c>
      <c r="Q60" t="s">
        <v>36</v>
      </c>
      <c r="R60">
        <v>-2</v>
      </c>
      <c r="S60">
        <v>2286</v>
      </c>
    </row>
    <row r="61" spans="1:19" x14ac:dyDescent="0.3">
      <c r="A61">
        <v>1060</v>
      </c>
      <c r="B61">
        <v>10</v>
      </c>
      <c r="C61">
        <v>130</v>
      </c>
      <c r="D61">
        <v>4</v>
      </c>
      <c r="E61">
        <v>2685</v>
      </c>
      <c r="F61">
        <v>10</v>
      </c>
      <c r="G61" t="s">
        <v>5</v>
      </c>
      <c r="H61" t="s">
        <v>48</v>
      </c>
      <c r="I61" t="s">
        <v>32</v>
      </c>
      <c r="J61" t="s">
        <v>33</v>
      </c>
      <c r="K61" t="s">
        <v>50</v>
      </c>
      <c r="L61">
        <v>9</v>
      </c>
      <c r="M61">
        <v>6</v>
      </c>
      <c r="N61">
        <v>9</v>
      </c>
      <c r="O61" t="s">
        <v>40</v>
      </c>
      <c r="P61">
        <v>0</v>
      </c>
      <c r="Q61" t="s">
        <v>41</v>
      </c>
      <c r="R61">
        <v>3</v>
      </c>
      <c r="S61">
        <v>10740</v>
      </c>
    </row>
    <row r="62" spans="1:19" x14ac:dyDescent="0.3">
      <c r="A62">
        <v>1061</v>
      </c>
      <c r="B62">
        <v>4</v>
      </c>
      <c r="C62">
        <v>125</v>
      </c>
      <c r="D62">
        <v>4</v>
      </c>
      <c r="E62">
        <v>1999</v>
      </c>
      <c r="F62">
        <v>20</v>
      </c>
      <c r="G62" t="s">
        <v>3</v>
      </c>
      <c r="H62" t="s">
        <v>37</v>
      </c>
      <c r="I62" t="s">
        <v>32</v>
      </c>
      <c r="J62" t="s">
        <v>38</v>
      </c>
      <c r="K62" t="s">
        <v>57</v>
      </c>
      <c r="L62">
        <v>5</v>
      </c>
      <c r="M62">
        <v>2</v>
      </c>
      <c r="N62">
        <v>3</v>
      </c>
      <c r="O62" t="s">
        <v>35</v>
      </c>
      <c r="P62">
        <v>0</v>
      </c>
      <c r="Q62" t="s">
        <v>41</v>
      </c>
      <c r="R62">
        <v>1</v>
      </c>
      <c r="S62">
        <v>7996</v>
      </c>
    </row>
    <row r="63" spans="1:19" x14ac:dyDescent="0.3">
      <c r="A63">
        <v>1062</v>
      </c>
      <c r="B63">
        <v>6</v>
      </c>
      <c r="C63">
        <v>121</v>
      </c>
      <c r="D63">
        <v>1</v>
      </c>
      <c r="E63">
        <v>2274</v>
      </c>
      <c r="F63">
        <v>5</v>
      </c>
      <c r="G63" t="s">
        <v>5</v>
      </c>
      <c r="H63" t="s">
        <v>53</v>
      </c>
      <c r="I63" t="s">
        <v>43</v>
      </c>
      <c r="J63" t="s">
        <v>38</v>
      </c>
      <c r="K63" t="s">
        <v>34</v>
      </c>
      <c r="L63">
        <v>4</v>
      </c>
      <c r="M63">
        <v>5</v>
      </c>
      <c r="N63">
        <v>1</v>
      </c>
      <c r="O63" t="s">
        <v>35</v>
      </c>
      <c r="P63">
        <v>0</v>
      </c>
      <c r="Q63" t="s">
        <v>36</v>
      </c>
      <c r="R63">
        <v>-4</v>
      </c>
      <c r="S63">
        <v>2274</v>
      </c>
    </row>
    <row r="64" spans="1:19" x14ac:dyDescent="0.3">
      <c r="A64">
        <v>1063</v>
      </c>
      <c r="B64">
        <v>2</v>
      </c>
      <c r="C64">
        <v>106</v>
      </c>
      <c r="D64">
        <v>1</v>
      </c>
      <c r="E64">
        <v>425</v>
      </c>
      <c r="F64">
        <v>5</v>
      </c>
      <c r="G64" t="s">
        <v>4</v>
      </c>
      <c r="H64" t="s">
        <v>54</v>
      </c>
      <c r="I64" t="s">
        <v>32</v>
      </c>
      <c r="J64" t="s">
        <v>33</v>
      </c>
      <c r="K64" t="s">
        <v>39</v>
      </c>
      <c r="L64">
        <v>9</v>
      </c>
      <c r="M64">
        <v>2</v>
      </c>
      <c r="N64">
        <v>5</v>
      </c>
      <c r="O64" t="s">
        <v>40</v>
      </c>
      <c r="P64">
        <v>1</v>
      </c>
      <c r="Q64" t="s">
        <v>36</v>
      </c>
      <c r="R64">
        <v>3</v>
      </c>
      <c r="S64">
        <v>425</v>
      </c>
    </row>
    <row r="65" spans="1:19" x14ac:dyDescent="0.3">
      <c r="A65">
        <v>1064</v>
      </c>
      <c r="B65">
        <v>10</v>
      </c>
      <c r="C65">
        <v>128</v>
      </c>
      <c r="D65">
        <v>4</v>
      </c>
      <c r="E65">
        <v>997</v>
      </c>
      <c r="F65">
        <v>30</v>
      </c>
      <c r="G65" t="s">
        <v>5</v>
      </c>
      <c r="H65" t="s">
        <v>48</v>
      </c>
      <c r="I65" t="s">
        <v>32</v>
      </c>
      <c r="J65" t="s">
        <v>33</v>
      </c>
      <c r="K65" t="s">
        <v>50</v>
      </c>
      <c r="L65">
        <v>13</v>
      </c>
      <c r="M65">
        <v>2</v>
      </c>
      <c r="N65">
        <v>7</v>
      </c>
      <c r="O65" t="s">
        <v>40</v>
      </c>
      <c r="P65">
        <v>0</v>
      </c>
      <c r="Q65" t="s">
        <v>47</v>
      </c>
      <c r="R65">
        <v>5</v>
      </c>
      <c r="S65">
        <v>3988</v>
      </c>
    </row>
    <row r="66" spans="1:19" x14ac:dyDescent="0.3">
      <c r="A66">
        <v>1065</v>
      </c>
      <c r="B66">
        <v>2</v>
      </c>
      <c r="C66">
        <v>128</v>
      </c>
      <c r="D66">
        <v>3</v>
      </c>
      <c r="E66">
        <v>2531</v>
      </c>
      <c r="F66">
        <v>5</v>
      </c>
      <c r="G66" t="s">
        <v>4</v>
      </c>
      <c r="H66" t="s">
        <v>54</v>
      </c>
      <c r="I66" t="s">
        <v>32</v>
      </c>
      <c r="J66" t="s">
        <v>33</v>
      </c>
      <c r="K66" t="s">
        <v>50</v>
      </c>
      <c r="L66">
        <v>13</v>
      </c>
      <c r="M66">
        <v>6</v>
      </c>
      <c r="N66">
        <v>6</v>
      </c>
      <c r="O66" t="s">
        <v>40</v>
      </c>
      <c r="P66">
        <v>0</v>
      </c>
      <c r="Q66" t="s">
        <v>41</v>
      </c>
      <c r="R66">
        <v>0</v>
      </c>
      <c r="S66">
        <v>7593</v>
      </c>
    </row>
    <row r="67" spans="1:19" x14ac:dyDescent="0.3">
      <c r="A67">
        <v>1066</v>
      </c>
      <c r="B67">
        <v>10</v>
      </c>
      <c r="C67">
        <v>112</v>
      </c>
      <c r="D67">
        <v>2</v>
      </c>
      <c r="E67">
        <v>1159</v>
      </c>
      <c r="F67">
        <v>30</v>
      </c>
      <c r="G67" t="s">
        <v>5</v>
      </c>
      <c r="H67" t="s">
        <v>48</v>
      </c>
      <c r="I67" t="s">
        <v>32</v>
      </c>
      <c r="J67" t="s">
        <v>33</v>
      </c>
      <c r="K67" t="s">
        <v>34</v>
      </c>
      <c r="L67">
        <v>4</v>
      </c>
      <c r="M67">
        <v>5</v>
      </c>
      <c r="N67">
        <v>1</v>
      </c>
      <c r="O67" t="s">
        <v>40</v>
      </c>
      <c r="P67">
        <v>0</v>
      </c>
      <c r="Q67" t="s">
        <v>51</v>
      </c>
      <c r="R67">
        <v>-4</v>
      </c>
      <c r="S67">
        <v>2318</v>
      </c>
    </row>
    <row r="68" spans="1:19" x14ac:dyDescent="0.3">
      <c r="A68">
        <v>1067</v>
      </c>
      <c r="B68">
        <v>4</v>
      </c>
      <c r="C68">
        <v>112</v>
      </c>
      <c r="D68">
        <v>4</v>
      </c>
      <c r="E68">
        <v>1704</v>
      </c>
      <c r="F68">
        <v>0</v>
      </c>
      <c r="G68" t="s">
        <v>3</v>
      </c>
      <c r="H68" t="s">
        <v>37</v>
      </c>
      <c r="I68" t="s">
        <v>32</v>
      </c>
      <c r="J68" t="s">
        <v>38</v>
      </c>
      <c r="K68" t="s">
        <v>34</v>
      </c>
      <c r="L68">
        <v>4</v>
      </c>
      <c r="M68">
        <v>5</v>
      </c>
      <c r="N68">
        <v>5</v>
      </c>
      <c r="O68" t="s">
        <v>40</v>
      </c>
      <c r="P68">
        <v>1</v>
      </c>
      <c r="Q68" t="s">
        <v>52</v>
      </c>
      <c r="R68">
        <v>0</v>
      </c>
      <c r="S68">
        <v>6816</v>
      </c>
    </row>
    <row r="69" spans="1:19" x14ac:dyDescent="0.3">
      <c r="A69">
        <v>1068</v>
      </c>
      <c r="B69">
        <v>8</v>
      </c>
      <c r="C69">
        <v>120</v>
      </c>
      <c r="D69">
        <v>1</v>
      </c>
      <c r="E69">
        <v>652</v>
      </c>
      <c r="F69">
        <v>20</v>
      </c>
      <c r="G69" t="s">
        <v>6</v>
      </c>
      <c r="H69" t="s">
        <v>42</v>
      </c>
      <c r="I69" t="s">
        <v>43</v>
      </c>
      <c r="J69" t="s">
        <v>44</v>
      </c>
      <c r="K69" t="s">
        <v>39</v>
      </c>
      <c r="L69">
        <v>16</v>
      </c>
      <c r="M69">
        <v>5</v>
      </c>
      <c r="N69">
        <v>5</v>
      </c>
      <c r="O69" t="s">
        <v>40</v>
      </c>
      <c r="P69">
        <v>0</v>
      </c>
      <c r="Q69" t="s">
        <v>52</v>
      </c>
      <c r="R69">
        <v>0</v>
      </c>
      <c r="S69">
        <v>652</v>
      </c>
    </row>
    <row r="70" spans="1:19" x14ac:dyDescent="0.3">
      <c r="A70">
        <v>1069</v>
      </c>
      <c r="B70">
        <v>7</v>
      </c>
      <c r="C70">
        <v>130</v>
      </c>
      <c r="D70">
        <v>3</v>
      </c>
      <c r="E70">
        <v>1015</v>
      </c>
      <c r="F70">
        <v>30</v>
      </c>
      <c r="G70" t="s">
        <v>4</v>
      </c>
      <c r="H70" t="s">
        <v>31</v>
      </c>
      <c r="I70" t="s">
        <v>32</v>
      </c>
      <c r="J70" t="s">
        <v>33</v>
      </c>
      <c r="K70" t="s">
        <v>50</v>
      </c>
      <c r="L70">
        <v>9</v>
      </c>
      <c r="M70">
        <v>4</v>
      </c>
      <c r="N70">
        <v>6</v>
      </c>
      <c r="O70" t="s">
        <v>40</v>
      </c>
      <c r="P70">
        <v>0</v>
      </c>
      <c r="Q70" t="s">
        <v>36</v>
      </c>
      <c r="R70">
        <v>2</v>
      </c>
      <c r="S70">
        <v>3045</v>
      </c>
    </row>
    <row r="71" spans="1:19" x14ac:dyDescent="0.3">
      <c r="A71">
        <v>1070</v>
      </c>
      <c r="B71">
        <v>9</v>
      </c>
      <c r="C71">
        <v>130</v>
      </c>
      <c r="D71">
        <v>4</v>
      </c>
      <c r="E71">
        <v>858</v>
      </c>
      <c r="F71">
        <v>0</v>
      </c>
      <c r="G71" t="s">
        <v>3</v>
      </c>
      <c r="H71" t="s">
        <v>58</v>
      </c>
      <c r="I71" t="s">
        <v>56</v>
      </c>
      <c r="J71" t="s">
        <v>38</v>
      </c>
      <c r="K71" t="s">
        <v>50</v>
      </c>
      <c r="L71">
        <v>9</v>
      </c>
      <c r="M71">
        <v>6</v>
      </c>
      <c r="N71">
        <v>3</v>
      </c>
      <c r="O71" t="s">
        <v>35</v>
      </c>
      <c r="P71">
        <v>1</v>
      </c>
      <c r="Q71" t="s">
        <v>47</v>
      </c>
      <c r="R71">
        <v>-3</v>
      </c>
      <c r="S71">
        <v>3432</v>
      </c>
    </row>
    <row r="72" spans="1:19" x14ac:dyDescent="0.3">
      <c r="A72">
        <v>1071</v>
      </c>
      <c r="B72">
        <v>8</v>
      </c>
      <c r="C72">
        <v>111</v>
      </c>
      <c r="D72">
        <v>4</v>
      </c>
      <c r="E72">
        <v>746</v>
      </c>
      <c r="F72">
        <v>5</v>
      </c>
      <c r="G72" t="s">
        <v>6</v>
      </c>
      <c r="H72" t="s">
        <v>42</v>
      </c>
      <c r="I72" t="s">
        <v>43</v>
      </c>
      <c r="J72" t="s">
        <v>44</v>
      </c>
      <c r="K72" t="s">
        <v>50</v>
      </c>
      <c r="L72">
        <v>11</v>
      </c>
      <c r="M72">
        <v>5</v>
      </c>
      <c r="N72">
        <v>5</v>
      </c>
      <c r="O72" t="s">
        <v>35</v>
      </c>
      <c r="P72">
        <v>1</v>
      </c>
      <c r="Q72" t="s">
        <v>52</v>
      </c>
      <c r="R72">
        <v>0</v>
      </c>
      <c r="S72">
        <v>2984</v>
      </c>
    </row>
    <row r="73" spans="1:19" x14ac:dyDescent="0.3">
      <c r="A73">
        <v>1072</v>
      </c>
      <c r="B73">
        <v>5</v>
      </c>
      <c r="C73">
        <v>126</v>
      </c>
      <c r="D73">
        <v>3</v>
      </c>
      <c r="E73">
        <v>1415</v>
      </c>
      <c r="F73">
        <v>5</v>
      </c>
      <c r="G73" t="s">
        <v>5</v>
      </c>
      <c r="H73" t="s">
        <v>45</v>
      </c>
      <c r="I73" t="s">
        <v>46</v>
      </c>
      <c r="J73" t="s">
        <v>38</v>
      </c>
      <c r="K73" t="s">
        <v>57</v>
      </c>
      <c r="L73">
        <v>12</v>
      </c>
      <c r="M73">
        <v>4</v>
      </c>
      <c r="N73">
        <v>7</v>
      </c>
      <c r="O73" t="s">
        <v>40</v>
      </c>
      <c r="P73">
        <v>1</v>
      </c>
      <c r="Q73" t="s">
        <v>41</v>
      </c>
      <c r="R73">
        <v>3</v>
      </c>
      <c r="S73">
        <v>4245</v>
      </c>
    </row>
    <row r="74" spans="1:19" x14ac:dyDescent="0.3">
      <c r="A74">
        <v>1073</v>
      </c>
      <c r="B74">
        <v>2</v>
      </c>
      <c r="C74">
        <v>123</v>
      </c>
      <c r="D74">
        <v>4</v>
      </c>
      <c r="E74">
        <v>216</v>
      </c>
      <c r="F74">
        <v>0</v>
      </c>
      <c r="G74" t="s">
        <v>4</v>
      </c>
      <c r="H74" t="s">
        <v>54</v>
      </c>
      <c r="I74" t="s">
        <v>32</v>
      </c>
      <c r="J74" t="s">
        <v>33</v>
      </c>
      <c r="K74" t="s">
        <v>39</v>
      </c>
      <c r="L74">
        <v>17</v>
      </c>
      <c r="M74">
        <v>3</v>
      </c>
      <c r="N74">
        <v>5</v>
      </c>
      <c r="O74" t="s">
        <v>35</v>
      </c>
      <c r="P74">
        <v>0</v>
      </c>
      <c r="Q74" t="s">
        <v>36</v>
      </c>
      <c r="R74">
        <v>2</v>
      </c>
      <c r="S74">
        <v>864</v>
      </c>
    </row>
    <row r="75" spans="1:19" x14ac:dyDescent="0.3">
      <c r="A75">
        <v>1074</v>
      </c>
      <c r="B75">
        <v>5</v>
      </c>
      <c r="C75">
        <v>128</v>
      </c>
      <c r="D75">
        <v>3</v>
      </c>
      <c r="E75">
        <v>1443</v>
      </c>
      <c r="F75">
        <v>5</v>
      </c>
      <c r="G75" t="s">
        <v>5</v>
      </c>
      <c r="H75" t="s">
        <v>45</v>
      </c>
      <c r="I75" t="s">
        <v>46</v>
      </c>
      <c r="J75" t="s">
        <v>38</v>
      </c>
      <c r="K75" t="s">
        <v>50</v>
      </c>
      <c r="L75">
        <v>13</v>
      </c>
      <c r="M75">
        <v>3</v>
      </c>
      <c r="N75">
        <v>5</v>
      </c>
      <c r="O75" t="s">
        <v>35</v>
      </c>
      <c r="P75">
        <v>0</v>
      </c>
      <c r="Q75" t="s">
        <v>51</v>
      </c>
      <c r="R75">
        <v>2</v>
      </c>
      <c r="S75">
        <v>4329</v>
      </c>
    </row>
    <row r="76" spans="1:19" x14ac:dyDescent="0.3">
      <c r="A76">
        <v>1075</v>
      </c>
      <c r="B76">
        <v>8</v>
      </c>
      <c r="C76">
        <v>125</v>
      </c>
      <c r="D76">
        <v>2</v>
      </c>
      <c r="E76">
        <v>2405</v>
      </c>
      <c r="F76">
        <v>0</v>
      </c>
      <c r="G76" t="s">
        <v>6</v>
      </c>
      <c r="H76" t="s">
        <v>42</v>
      </c>
      <c r="I76" t="s">
        <v>43</v>
      </c>
      <c r="J76" t="s">
        <v>44</v>
      </c>
      <c r="K76" t="s">
        <v>57</v>
      </c>
      <c r="L76">
        <v>5</v>
      </c>
      <c r="M76">
        <v>4</v>
      </c>
      <c r="N76">
        <v>5</v>
      </c>
      <c r="O76" t="s">
        <v>35</v>
      </c>
      <c r="P76">
        <v>0</v>
      </c>
      <c r="Q76" t="s">
        <v>36</v>
      </c>
      <c r="R76">
        <v>1</v>
      </c>
      <c r="S76">
        <v>4810</v>
      </c>
    </row>
    <row r="77" spans="1:19" x14ac:dyDescent="0.3">
      <c r="A77">
        <v>1076</v>
      </c>
      <c r="B77">
        <v>10</v>
      </c>
      <c r="C77">
        <v>107</v>
      </c>
      <c r="D77">
        <v>3</v>
      </c>
      <c r="E77">
        <v>2724</v>
      </c>
      <c r="F77">
        <v>30</v>
      </c>
      <c r="G77" t="s">
        <v>5</v>
      </c>
      <c r="H77" t="s">
        <v>48</v>
      </c>
      <c r="I77" t="s">
        <v>32</v>
      </c>
      <c r="J77" t="s">
        <v>33</v>
      </c>
      <c r="K77" t="s">
        <v>34</v>
      </c>
      <c r="L77">
        <v>7</v>
      </c>
      <c r="M77">
        <v>4</v>
      </c>
      <c r="N77">
        <v>3</v>
      </c>
      <c r="O77" t="s">
        <v>40</v>
      </c>
      <c r="P77">
        <v>1</v>
      </c>
      <c r="Q77" t="s">
        <v>51</v>
      </c>
      <c r="R77">
        <v>-1</v>
      </c>
      <c r="S77">
        <v>8172</v>
      </c>
    </row>
    <row r="78" spans="1:19" x14ac:dyDescent="0.3">
      <c r="A78">
        <v>1077</v>
      </c>
      <c r="B78">
        <v>9</v>
      </c>
      <c r="C78">
        <v>130</v>
      </c>
      <c r="D78">
        <v>3</v>
      </c>
      <c r="E78">
        <v>1269</v>
      </c>
      <c r="F78">
        <v>30</v>
      </c>
      <c r="G78" t="s">
        <v>3</v>
      </c>
      <c r="H78" t="s">
        <v>58</v>
      </c>
      <c r="I78" t="s">
        <v>56</v>
      </c>
      <c r="J78" t="s">
        <v>38</v>
      </c>
      <c r="K78" t="s">
        <v>50</v>
      </c>
      <c r="L78">
        <v>9</v>
      </c>
      <c r="M78">
        <v>6</v>
      </c>
      <c r="N78">
        <v>1</v>
      </c>
      <c r="O78" t="s">
        <v>40</v>
      </c>
      <c r="P78">
        <v>0</v>
      </c>
      <c r="Q78" t="s">
        <v>36</v>
      </c>
      <c r="R78">
        <v>-5</v>
      </c>
      <c r="S78">
        <v>3807</v>
      </c>
    </row>
    <row r="79" spans="1:19" x14ac:dyDescent="0.3">
      <c r="A79">
        <v>1078</v>
      </c>
      <c r="B79">
        <v>9</v>
      </c>
      <c r="C79">
        <v>101</v>
      </c>
      <c r="D79">
        <v>3</v>
      </c>
      <c r="E79">
        <v>2765</v>
      </c>
      <c r="F79">
        <v>0</v>
      </c>
      <c r="G79" t="s">
        <v>3</v>
      </c>
      <c r="H79" t="s">
        <v>58</v>
      </c>
      <c r="I79" t="s">
        <v>56</v>
      </c>
      <c r="J79" t="s">
        <v>38</v>
      </c>
      <c r="K79" t="s">
        <v>39</v>
      </c>
      <c r="L79">
        <v>17</v>
      </c>
      <c r="M79">
        <v>6</v>
      </c>
      <c r="N79">
        <v>5</v>
      </c>
      <c r="O79" t="s">
        <v>35</v>
      </c>
      <c r="P79">
        <v>0</v>
      </c>
      <c r="Q79" t="s">
        <v>36</v>
      </c>
      <c r="R79">
        <v>-1</v>
      </c>
      <c r="S79">
        <v>8295</v>
      </c>
    </row>
    <row r="80" spans="1:19" x14ac:dyDescent="0.3">
      <c r="A80">
        <v>1079</v>
      </c>
      <c r="B80">
        <v>1</v>
      </c>
      <c r="C80">
        <v>101</v>
      </c>
      <c r="D80">
        <v>4</v>
      </c>
      <c r="E80">
        <v>2346</v>
      </c>
      <c r="F80">
        <v>30</v>
      </c>
      <c r="G80" t="s">
        <v>5</v>
      </c>
      <c r="H80" t="s">
        <v>55</v>
      </c>
      <c r="I80" t="s">
        <v>56</v>
      </c>
      <c r="J80" t="s">
        <v>44</v>
      </c>
      <c r="K80" t="s">
        <v>39</v>
      </c>
      <c r="L80">
        <v>17</v>
      </c>
      <c r="M80">
        <v>3</v>
      </c>
      <c r="N80">
        <v>9</v>
      </c>
      <c r="O80" t="s">
        <v>40</v>
      </c>
      <c r="P80">
        <v>0</v>
      </c>
      <c r="Q80" t="s">
        <v>36</v>
      </c>
      <c r="R80">
        <v>6</v>
      </c>
      <c r="S80">
        <v>9384</v>
      </c>
    </row>
    <row r="81" spans="1:19" x14ac:dyDescent="0.3">
      <c r="A81">
        <v>1080</v>
      </c>
      <c r="B81">
        <v>9</v>
      </c>
      <c r="C81">
        <v>125</v>
      </c>
      <c r="D81">
        <v>4</v>
      </c>
      <c r="E81">
        <v>1968</v>
      </c>
      <c r="F81">
        <v>30</v>
      </c>
      <c r="G81" t="s">
        <v>3</v>
      </c>
      <c r="H81" t="s">
        <v>58</v>
      </c>
      <c r="I81" t="s">
        <v>56</v>
      </c>
      <c r="J81" t="s">
        <v>38</v>
      </c>
      <c r="K81" t="s">
        <v>57</v>
      </c>
      <c r="L81">
        <v>5</v>
      </c>
      <c r="M81">
        <v>5</v>
      </c>
      <c r="N81">
        <v>1</v>
      </c>
      <c r="O81" t="s">
        <v>35</v>
      </c>
      <c r="P81">
        <v>1</v>
      </c>
      <c r="Q81" t="s">
        <v>51</v>
      </c>
      <c r="R81">
        <v>-4</v>
      </c>
      <c r="S81">
        <v>7872</v>
      </c>
    </row>
    <row r="82" spans="1:19" x14ac:dyDescent="0.3">
      <c r="A82">
        <v>1081</v>
      </c>
      <c r="B82">
        <v>7</v>
      </c>
      <c r="C82">
        <v>127</v>
      </c>
      <c r="D82">
        <v>3</v>
      </c>
      <c r="E82">
        <v>1260</v>
      </c>
      <c r="F82">
        <v>30</v>
      </c>
      <c r="G82" t="s">
        <v>4</v>
      </c>
      <c r="H82" t="s">
        <v>31</v>
      </c>
      <c r="I82" t="s">
        <v>32</v>
      </c>
      <c r="J82" t="s">
        <v>33</v>
      </c>
      <c r="K82" t="s">
        <v>34</v>
      </c>
      <c r="L82">
        <v>17</v>
      </c>
      <c r="M82">
        <v>3</v>
      </c>
      <c r="N82">
        <v>3</v>
      </c>
      <c r="O82" t="s">
        <v>35</v>
      </c>
      <c r="P82">
        <v>0</v>
      </c>
      <c r="Q82" t="s">
        <v>51</v>
      </c>
      <c r="R82">
        <v>0</v>
      </c>
      <c r="S82">
        <v>3780</v>
      </c>
    </row>
    <row r="83" spans="1:19" x14ac:dyDescent="0.3">
      <c r="A83">
        <v>1082</v>
      </c>
      <c r="B83">
        <v>9</v>
      </c>
      <c r="C83">
        <v>130</v>
      </c>
      <c r="D83">
        <v>4</v>
      </c>
      <c r="E83">
        <v>2527</v>
      </c>
      <c r="F83">
        <v>10</v>
      </c>
      <c r="G83" t="s">
        <v>3</v>
      </c>
      <c r="H83" t="s">
        <v>58</v>
      </c>
      <c r="I83" t="s">
        <v>56</v>
      </c>
      <c r="J83" t="s">
        <v>38</v>
      </c>
      <c r="K83" t="s">
        <v>50</v>
      </c>
      <c r="L83">
        <v>9</v>
      </c>
      <c r="M83">
        <v>5</v>
      </c>
      <c r="N83">
        <v>4</v>
      </c>
      <c r="O83" t="s">
        <v>35</v>
      </c>
      <c r="P83">
        <v>0</v>
      </c>
      <c r="Q83" t="s">
        <v>36</v>
      </c>
      <c r="R83">
        <v>-1</v>
      </c>
      <c r="S83">
        <v>10108</v>
      </c>
    </row>
    <row r="84" spans="1:19" x14ac:dyDescent="0.3">
      <c r="A84">
        <v>1083</v>
      </c>
      <c r="B84">
        <v>8</v>
      </c>
      <c r="C84">
        <v>125</v>
      </c>
      <c r="D84">
        <v>1</v>
      </c>
      <c r="E84">
        <v>2744</v>
      </c>
      <c r="F84">
        <v>20</v>
      </c>
      <c r="G84" t="s">
        <v>6</v>
      </c>
      <c r="H84" t="s">
        <v>42</v>
      </c>
      <c r="I84" t="s">
        <v>43</v>
      </c>
      <c r="J84" t="s">
        <v>44</v>
      </c>
      <c r="K84" t="s">
        <v>57</v>
      </c>
      <c r="L84">
        <v>5</v>
      </c>
      <c r="M84">
        <v>5</v>
      </c>
      <c r="N84">
        <v>1</v>
      </c>
      <c r="O84" t="s">
        <v>35</v>
      </c>
      <c r="P84">
        <v>0</v>
      </c>
      <c r="Q84" t="s">
        <v>52</v>
      </c>
      <c r="R84">
        <v>-4</v>
      </c>
      <c r="S84">
        <v>2744</v>
      </c>
    </row>
    <row r="85" spans="1:19" x14ac:dyDescent="0.3">
      <c r="A85">
        <v>1084</v>
      </c>
      <c r="B85">
        <v>1</v>
      </c>
      <c r="C85">
        <v>120</v>
      </c>
      <c r="D85">
        <v>1</v>
      </c>
      <c r="E85">
        <v>501</v>
      </c>
      <c r="F85">
        <v>5</v>
      </c>
      <c r="G85" t="s">
        <v>5</v>
      </c>
      <c r="H85" t="s">
        <v>55</v>
      </c>
      <c r="I85" t="s">
        <v>56</v>
      </c>
      <c r="J85" t="s">
        <v>44</v>
      </c>
      <c r="K85" t="s">
        <v>39</v>
      </c>
      <c r="L85">
        <v>16</v>
      </c>
      <c r="M85">
        <v>6</v>
      </c>
      <c r="N85">
        <v>1</v>
      </c>
      <c r="O85" t="s">
        <v>40</v>
      </c>
      <c r="P85">
        <v>0</v>
      </c>
      <c r="Q85" t="s">
        <v>47</v>
      </c>
      <c r="R85">
        <v>-5</v>
      </c>
      <c r="S85">
        <v>501</v>
      </c>
    </row>
    <row r="86" spans="1:19" x14ac:dyDescent="0.3">
      <c r="A86">
        <v>1085</v>
      </c>
      <c r="B86">
        <v>8</v>
      </c>
      <c r="C86">
        <v>113</v>
      </c>
      <c r="D86">
        <v>4</v>
      </c>
      <c r="E86">
        <v>380</v>
      </c>
      <c r="F86">
        <v>10</v>
      </c>
      <c r="G86" t="s">
        <v>6</v>
      </c>
      <c r="H86" t="s">
        <v>42</v>
      </c>
      <c r="I86" t="s">
        <v>43</v>
      </c>
      <c r="J86" t="s">
        <v>44</v>
      </c>
      <c r="K86" t="s">
        <v>39</v>
      </c>
      <c r="L86">
        <v>4</v>
      </c>
      <c r="M86">
        <v>2</v>
      </c>
      <c r="N86">
        <v>8</v>
      </c>
      <c r="O86" t="s">
        <v>40</v>
      </c>
      <c r="P86">
        <v>0</v>
      </c>
      <c r="Q86" t="s">
        <v>47</v>
      </c>
      <c r="R86">
        <v>6</v>
      </c>
      <c r="S86">
        <v>1520</v>
      </c>
    </row>
    <row r="87" spans="1:19" x14ac:dyDescent="0.3">
      <c r="A87">
        <v>1086</v>
      </c>
      <c r="B87">
        <v>8</v>
      </c>
      <c r="C87">
        <v>109</v>
      </c>
      <c r="D87">
        <v>4</v>
      </c>
      <c r="E87">
        <v>806</v>
      </c>
      <c r="F87">
        <v>30</v>
      </c>
      <c r="G87" t="s">
        <v>6</v>
      </c>
      <c r="H87" t="s">
        <v>42</v>
      </c>
      <c r="I87" t="s">
        <v>43</v>
      </c>
      <c r="J87" t="s">
        <v>44</v>
      </c>
      <c r="K87" t="s">
        <v>34</v>
      </c>
      <c r="L87">
        <v>18</v>
      </c>
      <c r="M87">
        <v>2</v>
      </c>
      <c r="N87">
        <v>2</v>
      </c>
      <c r="O87" t="s">
        <v>40</v>
      </c>
      <c r="P87">
        <v>0</v>
      </c>
      <c r="Q87" t="s">
        <v>47</v>
      </c>
      <c r="R87">
        <v>0</v>
      </c>
      <c r="S87">
        <v>3224</v>
      </c>
    </row>
    <row r="88" spans="1:19" x14ac:dyDescent="0.3">
      <c r="A88">
        <v>1087</v>
      </c>
      <c r="B88">
        <v>3</v>
      </c>
      <c r="C88">
        <v>103</v>
      </c>
      <c r="D88">
        <v>3</v>
      </c>
      <c r="E88">
        <v>899</v>
      </c>
      <c r="F88">
        <v>0</v>
      </c>
      <c r="G88" t="s">
        <v>6</v>
      </c>
      <c r="H88" t="s">
        <v>49</v>
      </c>
      <c r="I88" t="s">
        <v>32</v>
      </c>
      <c r="J88" t="s">
        <v>44</v>
      </c>
      <c r="K88" t="s">
        <v>39</v>
      </c>
      <c r="L88">
        <v>10</v>
      </c>
      <c r="M88">
        <v>4</v>
      </c>
      <c r="N88">
        <v>8</v>
      </c>
      <c r="O88" t="s">
        <v>35</v>
      </c>
      <c r="P88">
        <v>0</v>
      </c>
      <c r="Q88" t="s">
        <v>51</v>
      </c>
      <c r="R88">
        <v>4</v>
      </c>
      <c r="S88">
        <v>2697</v>
      </c>
    </row>
    <row r="89" spans="1:19" x14ac:dyDescent="0.3">
      <c r="A89">
        <v>1088</v>
      </c>
      <c r="B89">
        <v>1</v>
      </c>
      <c r="C89">
        <v>107</v>
      </c>
      <c r="D89">
        <v>2</v>
      </c>
      <c r="E89">
        <v>1192</v>
      </c>
      <c r="F89">
        <v>30</v>
      </c>
      <c r="G89" t="s">
        <v>5</v>
      </c>
      <c r="H89" t="s">
        <v>55</v>
      </c>
      <c r="I89" t="s">
        <v>56</v>
      </c>
      <c r="J89" t="s">
        <v>44</v>
      </c>
      <c r="K89" t="s">
        <v>34</v>
      </c>
      <c r="L89">
        <v>7</v>
      </c>
      <c r="M89">
        <v>6</v>
      </c>
      <c r="N89">
        <v>7</v>
      </c>
      <c r="O89" t="s">
        <v>40</v>
      </c>
      <c r="P89">
        <v>0</v>
      </c>
      <c r="Q89" t="s">
        <v>51</v>
      </c>
      <c r="R89">
        <v>1</v>
      </c>
      <c r="S89">
        <v>2384</v>
      </c>
    </row>
    <row r="90" spans="1:19" x14ac:dyDescent="0.3">
      <c r="A90">
        <v>1089</v>
      </c>
      <c r="B90">
        <v>8</v>
      </c>
      <c r="C90">
        <v>106</v>
      </c>
      <c r="D90">
        <v>4</v>
      </c>
      <c r="E90">
        <v>1339</v>
      </c>
      <c r="F90">
        <v>20</v>
      </c>
      <c r="G90" t="s">
        <v>6</v>
      </c>
      <c r="H90" t="s">
        <v>42</v>
      </c>
      <c r="I90" t="s">
        <v>43</v>
      </c>
      <c r="J90" t="s">
        <v>44</v>
      </c>
      <c r="K90" t="s">
        <v>39</v>
      </c>
      <c r="L90">
        <v>9</v>
      </c>
      <c r="M90">
        <v>5</v>
      </c>
      <c r="N90">
        <v>2</v>
      </c>
      <c r="O90" t="s">
        <v>35</v>
      </c>
      <c r="P90">
        <v>0</v>
      </c>
      <c r="Q90" t="s">
        <v>52</v>
      </c>
      <c r="R90">
        <v>-3</v>
      </c>
      <c r="S90">
        <v>5356</v>
      </c>
    </row>
    <row r="91" spans="1:19" x14ac:dyDescent="0.3">
      <c r="A91">
        <v>1090</v>
      </c>
      <c r="B91">
        <v>3</v>
      </c>
      <c r="C91">
        <v>108</v>
      </c>
      <c r="D91">
        <v>1</v>
      </c>
      <c r="E91">
        <v>390</v>
      </c>
      <c r="F91">
        <v>30</v>
      </c>
      <c r="G91" t="s">
        <v>6</v>
      </c>
      <c r="H91" t="s">
        <v>49</v>
      </c>
      <c r="I91" t="s">
        <v>32</v>
      </c>
      <c r="J91" t="s">
        <v>44</v>
      </c>
      <c r="K91" t="s">
        <v>34</v>
      </c>
      <c r="L91">
        <v>4</v>
      </c>
      <c r="M91">
        <v>2</v>
      </c>
      <c r="N91">
        <v>6</v>
      </c>
      <c r="O91" t="s">
        <v>40</v>
      </c>
      <c r="P91">
        <v>0</v>
      </c>
      <c r="Q91" t="s">
        <v>47</v>
      </c>
      <c r="R91">
        <v>4</v>
      </c>
      <c r="S91">
        <v>390</v>
      </c>
    </row>
    <row r="92" spans="1:19" x14ac:dyDescent="0.3">
      <c r="A92">
        <v>1091</v>
      </c>
      <c r="B92">
        <v>3</v>
      </c>
      <c r="C92">
        <v>127</v>
      </c>
      <c r="D92">
        <v>3</v>
      </c>
      <c r="E92">
        <v>2500</v>
      </c>
      <c r="F92">
        <v>0</v>
      </c>
      <c r="G92" t="s">
        <v>6</v>
      </c>
      <c r="H92" t="s">
        <v>49</v>
      </c>
      <c r="I92" t="s">
        <v>32</v>
      </c>
      <c r="J92" t="s">
        <v>44</v>
      </c>
      <c r="K92" t="s">
        <v>34</v>
      </c>
      <c r="L92">
        <v>17</v>
      </c>
      <c r="M92">
        <v>5</v>
      </c>
      <c r="N92">
        <v>6</v>
      </c>
      <c r="O92" t="s">
        <v>35</v>
      </c>
      <c r="P92">
        <v>0</v>
      </c>
      <c r="Q92" t="s">
        <v>47</v>
      </c>
      <c r="R92">
        <v>1</v>
      </c>
      <c r="S92">
        <v>7500</v>
      </c>
    </row>
    <row r="93" spans="1:19" x14ac:dyDescent="0.3">
      <c r="A93">
        <v>1092</v>
      </c>
      <c r="B93">
        <v>1</v>
      </c>
      <c r="C93">
        <v>109</v>
      </c>
      <c r="D93">
        <v>4</v>
      </c>
      <c r="E93">
        <v>1180</v>
      </c>
      <c r="F93">
        <v>20</v>
      </c>
      <c r="G93" t="s">
        <v>5</v>
      </c>
      <c r="H93" t="s">
        <v>55</v>
      </c>
      <c r="I93" t="s">
        <v>56</v>
      </c>
      <c r="J93" t="s">
        <v>44</v>
      </c>
      <c r="K93" t="s">
        <v>34</v>
      </c>
      <c r="L93">
        <v>18</v>
      </c>
      <c r="M93">
        <v>2</v>
      </c>
      <c r="N93">
        <v>3</v>
      </c>
      <c r="O93" t="s">
        <v>35</v>
      </c>
      <c r="P93">
        <v>0</v>
      </c>
      <c r="Q93" t="s">
        <v>36</v>
      </c>
      <c r="R93">
        <v>1</v>
      </c>
      <c r="S93">
        <v>4720</v>
      </c>
    </row>
    <row r="94" spans="1:19" x14ac:dyDescent="0.3">
      <c r="A94">
        <v>1093</v>
      </c>
      <c r="B94">
        <v>5</v>
      </c>
      <c r="C94">
        <v>130</v>
      </c>
      <c r="D94">
        <v>1</v>
      </c>
      <c r="E94">
        <v>2206</v>
      </c>
      <c r="F94">
        <v>30</v>
      </c>
      <c r="G94" t="s">
        <v>5</v>
      </c>
      <c r="H94" t="s">
        <v>45</v>
      </c>
      <c r="I94" t="s">
        <v>46</v>
      </c>
      <c r="J94" t="s">
        <v>38</v>
      </c>
      <c r="K94" t="s">
        <v>50</v>
      </c>
      <c r="L94">
        <v>9</v>
      </c>
      <c r="M94">
        <v>2</v>
      </c>
      <c r="N94">
        <v>2</v>
      </c>
      <c r="O94" t="s">
        <v>35</v>
      </c>
      <c r="P94">
        <v>0</v>
      </c>
      <c r="Q94" t="s">
        <v>51</v>
      </c>
      <c r="R94">
        <v>0</v>
      </c>
      <c r="S94">
        <v>2206</v>
      </c>
    </row>
    <row r="95" spans="1:19" x14ac:dyDescent="0.3">
      <c r="A95">
        <v>1094</v>
      </c>
      <c r="B95">
        <v>10</v>
      </c>
      <c r="C95">
        <v>105</v>
      </c>
      <c r="D95">
        <v>1</v>
      </c>
      <c r="E95">
        <v>1384</v>
      </c>
      <c r="F95">
        <v>20</v>
      </c>
      <c r="G95" t="s">
        <v>5</v>
      </c>
      <c r="H95" t="s">
        <v>48</v>
      </c>
      <c r="I95" t="s">
        <v>32</v>
      </c>
      <c r="J95" t="s">
        <v>33</v>
      </c>
      <c r="K95" t="s">
        <v>50</v>
      </c>
      <c r="L95">
        <v>19</v>
      </c>
      <c r="M95">
        <v>2</v>
      </c>
      <c r="N95">
        <v>1</v>
      </c>
      <c r="O95" t="s">
        <v>40</v>
      </c>
      <c r="P95">
        <v>0</v>
      </c>
      <c r="Q95" t="s">
        <v>47</v>
      </c>
      <c r="R95">
        <v>-1</v>
      </c>
      <c r="S95">
        <v>1384</v>
      </c>
    </row>
    <row r="96" spans="1:19" x14ac:dyDescent="0.3">
      <c r="A96">
        <v>1095</v>
      </c>
      <c r="B96">
        <v>7</v>
      </c>
      <c r="C96">
        <v>101</v>
      </c>
      <c r="D96">
        <v>2</v>
      </c>
      <c r="E96">
        <v>327</v>
      </c>
      <c r="F96">
        <v>5</v>
      </c>
      <c r="G96" t="s">
        <v>4</v>
      </c>
      <c r="H96" t="s">
        <v>31</v>
      </c>
      <c r="I96" t="s">
        <v>32</v>
      </c>
      <c r="J96" t="s">
        <v>33</v>
      </c>
      <c r="K96" t="s">
        <v>39</v>
      </c>
      <c r="L96">
        <v>17</v>
      </c>
      <c r="M96">
        <v>6</v>
      </c>
      <c r="N96">
        <v>6</v>
      </c>
      <c r="O96" t="s">
        <v>40</v>
      </c>
      <c r="P96">
        <v>0</v>
      </c>
      <c r="Q96" t="s">
        <v>52</v>
      </c>
      <c r="R96">
        <v>0</v>
      </c>
      <c r="S96">
        <v>654</v>
      </c>
    </row>
    <row r="97" spans="1:19" x14ac:dyDescent="0.3">
      <c r="A97">
        <v>1096</v>
      </c>
      <c r="B97">
        <v>10</v>
      </c>
      <c r="C97">
        <v>119</v>
      </c>
      <c r="D97">
        <v>3</v>
      </c>
      <c r="E97">
        <v>2265</v>
      </c>
      <c r="F97">
        <v>5</v>
      </c>
      <c r="G97" t="s">
        <v>5</v>
      </c>
      <c r="H97" t="s">
        <v>48</v>
      </c>
      <c r="I97" t="s">
        <v>32</v>
      </c>
      <c r="J97" t="s">
        <v>33</v>
      </c>
      <c r="K97" t="s">
        <v>50</v>
      </c>
      <c r="L97">
        <v>3</v>
      </c>
      <c r="M97">
        <v>3</v>
      </c>
      <c r="N97">
        <v>5</v>
      </c>
      <c r="O97" t="s">
        <v>40</v>
      </c>
      <c r="P97">
        <v>0</v>
      </c>
      <c r="Q97" t="s">
        <v>52</v>
      </c>
      <c r="R97">
        <v>2</v>
      </c>
      <c r="S97">
        <v>6795</v>
      </c>
    </row>
    <row r="98" spans="1:19" x14ac:dyDescent="0.3">
      <c r="A98">
        <v>1097</v>
      </c>
      <c r="B98">
        <v>9</v>
      </c>
      <c r="C98">
        <v>110</v>
      </c>
      <c r="D98">
        <v>3</v>
      </c>
      <c r="E98">
        <v>2016</v>
      </c>
      <c r="F98">
        <v>30</v>
      </c>
      <c r="G98" t="s">
        <v>3</v>
      </c>
      <c r="H98" t="s">
        <v>58</v>
      </c>
      <c r="I98" t="s">
        <v>56</v>
      </c>
      <c r="J98" t="s">
        <v>38</v>
      </c>
      <c r="K98" t="s">
        <v>50</v>
      </c>
      <c r="L98">
        <v>13</v>
      </c>
      <c r="M98">
        <v>5</v>
      </c>
      <c r="N98">
        <v>9</v>
      </c>
      <c r="O98" t="s">
        <v>40</v>
      </c>
      <c r="P98">
        <v>1</v>
      </c>
      <c r="Q98" t="s">
        <v>47</v>
      </c>
      <c r="R98">
        <v>4</v>
      </c>
      <c r="S98">
        <v>6048</v>
      </c>
    </row>
    <row r="99" spans="1:19" x14ac:dyDescent="0.3">
      <c r="A99">
        <v>1098</v>
      </c>
      <c r="B99">
        <v>7</v>
      </c>
      <c r="C99">
        <v>112</v>
      </c>
      <c r="D99">
        <v>2</v>
      </c>
      <c r="E99">
        <v>1958</v>
      </c>
      <c r="F99">
        <v>20</v>
      </c>
      <c r="G99" t="s">
        <v>4</v>
      </c>
      <c r="H99" t="s">
        <v>31</v>
      </c>
      <c r="I99" t="s">
        <v>32</v>
      </c>
      <c r="J99" t="s">
        <v>33</v>
      </c>
      <c r="K99" t="s">
        <v>34</v>
      </c>
      <c r="L99">
        <v>4</v>
      </c>
      <c r="M99">
        <v>6</v>
      </c>
      <c r="N99">
        <v>1</v>
      </c>
      <c r="O99" t="s">
        <v>35</v>
      </c>
      <c r="P99">
        <v>0</v>
      </c>
      <c r="Q99" t="s">
        <v>51</v>
      </c>
      <c r="R99">
        <v>-5</v>
      </c>
      <c r="S99">
        <v>3916</v>
      </c>
    </row>
    <row r="100" spans="1:19" x14ac:dyDescent="0.3">
      <c r="A100">
        <v>1099</v>
      </c>
      <c r="B100">
        <v>9</v>
      </c>
      <c r="C100">
        <v>124</v>
      </c>
      <c r="D100">
        <v>2</v>
      </c>
      <c r="E100">
        <v>2813</v>
      </c>
      <c r="F100">
        <v>0</v>
      </c>
      <c r="G100" t="s">
        <v>3</v>
      </c>
      <c r="H100" t="s">
        <v>58</v>
      </c>
      <c r="I100" t="s">
        <v>56</v>
      </c>
      <c r="J100" t="s">
        <v>38</v>
      </c>
      <c r="K100" t="s">
        <v>50</v>
      </c>
      <c r="L100">
        <v>7</v>
      </c>
      <c r="M100">
        <v>6</v>
      </c>
      <c r="N100">
        <v>7</v>
      </c>
      <c r="O100" t="s">
        <v>40</v>
      </c>
      <c r="P100">
        <v>1</v>
      </c>
      <c r="Q100" t="s">
        <v>52</v>
      </c>
      <c r="R100">
        <v>1</v>
      </c>
      <c r="S100">
        <v>5626</v>
      </c>
    </row>
    <row r="101" spans="1:19" x14ac:dyDescent="0.3">
      <c r="A101">
        <v>1100</v>
      </c>
      <c r="B101">
        <v>8</v>
      </c>
      <c r="C101">
        <v>115</v>
      </c>
      <c r="D101">
        <v>3</v>
      </c>
      <c r="E101">
        <v>769</v>
      </c>
      <c r="F101">
        <v>30</v>
      </c>
      <c r="G101" t="s">
        <v>6</v>
      </c>
      <c r="H101" t="s">
        <v>42</v>
      </c>
      <c r="I101" t="s">
        <v>43</v>
      </c>
      <c r="J101" t="s">
        <v>44</v>
      </c>
      <c r="K101" t="s">
        <v>34</v>
      </c>
      <c r="L101">
        <v>5</v>
      </c>
      <c r="M101">
        <v>6</v>
      </c>
      <c r="N101">
        <v>5</v>
      </c>
      <c r="O101" t="s">
        <v>40</v>
      </c>
      <c r="P101">
        <v>0</v>
      </c>
      <c r="Q101" t="s">
        <v>36</v>
      </c>
      <c r="R101">
        <v>-1</v>
      </c>
      <c r="S101">
        <v>2307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59</v>
      </c>
      <c r="B1" s="1" t="s">
        <v>60</v>
      </c>
    </row>
    <row r="2" spans="1:2" x14ac:dyDescent="0.3">
      <c r="A2" t="s">
        <v>61</v>
      </c>
      <c r="B2" t="s">
        <v>62</v>
      </c>
    </row>
    <row r="3" spans="1:2" x14ac:dyDescent="0.3">
      <c r="A3" t="s">
        <v>63</v>
      </c>
      <c r="B3">
        <v>80</v>
      </c>
    </row>
    <row r="4" spans="1:2" x14ac:dyDescent="0.3">
      <c r="A4" t="s">
        <v>64</v>
      </c>
      <c r="B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topLeftCell="K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18" customWidth="1"/>
    <col min="4" max="4" width="23" customWidth="1"/>
  </cols>
  <sheetData>
    <row r="1" spans="1:4" x14ac:dyDescent="0.3">
      <c r="A1" s="5" t="s">
        <v>18</v>
      </c>
      <c r="B1" s="5" t="s">
        <v>65</v>
      </c>
      <c r="C1" s="5" t="s">
        <v>66</v>
      </c>
      <c r="D1" s="5" t="s">
        <v>67</v>
      </c>
    </row>
    <row r="2" spans="1:4" x14ac:dyDescent="0.3">
      <c r="A2" s="6" t="s">
        <v>3</v>
      </c>
      <c r="B2" s="6">
        <v>21</v>
      </c>
      <c r="C2" s="6">
        <v>9</v>
      </c>
      <c r="D2" s="7">
        <v>0.42857142857142849</v>
      </c>
    </row>
    <row r="3" spans="1:4" x14ac:dyDescent="0.3">
      <c r="A3" s="8" t="s">
        <v>5</v>
      </c>
      <c r="B3" s="8">
        <v>34</v>
      </c>
      <c r="C3" s="8">
        <v>8</v>
      </c>
      <c r="D3" s="9">
        <v>0.23529411764705879</v>
      </c>
    </row>
    <row r="4" spans="1:4" x14ac:dyDescent="0.3">
      <c r="A4" s="6" t="s">
        <v>6</v>
      </c>
      <c r="B4" s="6">
        <v>24</v>
      </c>
      <c r="C4" s="6">
        <v>3</v>
      </c>
      <c r="D4" s="7">
        <v>0.125</v>
      </c>
    </row>
    <row r="5" spans="1:4" x14ac:dyDescent="0.3">
      <c r="A5" s="8" t="s">
        <v>4</v>
      </c>
      <c r="B5" s="8">
        <v>21</v>
      </c>
      <c r="C5" s="8">
        <v>1</v>
      </c>
      <c r="D5" s="9">
        <v>4.7619047619047623E-2</v>
      </c>
    </row>
  </sheetData>
  <autoFilter ref="A1:D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4" customWidth="1"/>
  </cols>
  <sheetData>
    <row r="1" spans="1:2" x14ac:dyDescent="0.3">
      <c r="A1" s="5" t="s">
        <v>68</v>
      </c>
      <c r="B1" s="5" t="s">
        <v>69</v>
      </c>
    </row>
    <row r="2" spans="1:2" x14ac:dyDescent="0.3">
      <c r="A2" s="6" t="s">
        <v>41</v>
      </c>
      <c r="B2" s="6">
        <v>7</v>
      </c>
    </row>
    <row r="3" spans="1:2" x14ac:dyDescent="0.3">
      <c r="A3" s="8" t="s">
        <v>47</v>
      </c>
      <c r="B3" s="8">
        <v>4</v>
      </c>
    </row>
    <row r="4" spans="1:2" x14ac:dyDescent="0.3">
      <c r="A4" s="6" t="s">
        <v>51</v>
      </c>
      <c r="B4" s="6">
        <v>4</v>
      </c>
    </row>
    <row r="5" spans="1:2" x14ac:dyDescent="0.3">
      <c r="A5" s="8" t="s">
        <v>52</v>
      </c>
      <c r="B5" s="8">
        <v>4</v>
      </c>
    </row>
    <row r="6" spans="1:2" x14ac:dyDescent="0.3">
      <c r="A6" s="6" t="s">
        <v>36</v>
      </c>
      <c r="B6" s="6">
        <v>2</v>
      </c>
    </row>
  </sheetData>
  <autoFilter ref="A1:B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21" customWidth="1"/>
  </cols>
  <sheetData>
    <row r="1" spans="1:2" x14ac:dyDescent="0.3">
      <c r="A1" s="5" t="s">
        <v>70</v>
      </c>
      <c r="B1" s="5" t="s">
        <v>71</v>
      </c>
    </row>
    <row r="2" spans="1:2" x14ac:dyDescent="0.3">
      <c r="A2" s="6">
        <v>0</v>
      </c>
      <c r="B2" s="6">
        <v>14.050632911392411</v>
      </c>
    </row>
    <row r="3" spans="1:2" x14ac:dyDescent="0.3">
      <c r="A3" s="8">
        <v>1</v>
      </c>
      <c r="B3" s="8">
        <v>11.90476190476191</v>
      </c>
    </row>
  </sheetData>
  <autoFilter ref="A1:B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32" customWidth="1"/>
  </cols>
  <sheetData>
    <row r="1" spans="1:2" x14ac:dyDescent="0.3">
      <c r="A1" s="5" t="s">
        <v>70</v>
      </c>
      <c r="B1" s="5" t="s">
        <v>72</v>
      </c>
    </row>
    <row r="2" spans="1:2" x14ac:dyDescent="0.3">
      <c r="A2" s="6">
        <v>0</v>
      </c>
      <c r="B2" s="6">
        <v>0.53164556962025311</v>
      </c>
    </row>
    <row r="3" spans="1:2" x14ac:dyDescent="0.3">
      <c r="A3" s="8">
        <v>1</v>
      </c>
      <c r="B3" s="8">
        <v>0.23809523809523811</v>
      </c>
    </row>
  </sheetData>
  <autoFilter ref="A1:B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18" customWidth="1"/>
    <col min="4" max="4" width="22" customWidth="1"/>
  </cols>
  <sheetData>
    <row r="1" spans="1:4" x14ac:dyDescent="0.3">
      <c r="A1" s="5" t="s">
        <v>21</v>
      </c>
      <c r="B1" s="5" t="s">
        <v>65</v>
      </c>
      <c r="C1" s="5" t="s">
        <v>66</v>
      </c>
      <c r="D1" s="5" t="s">
        <v>67</v>
      </c>
    </row>
    <row r="2" spans="1:4" x14ac:dyDescent="0.3">
      <c r="A2" s="6" t="s">
        <v>38</v>
      </c>
      <c r="B2" s="6">
        <v>37</v>
      </c>
      <c r="C2" s="6">
        <v>12</v>
      </c>
      <c r="D2" s="7">
        <v>0.32432432432432429</v>
      </c>
    </row>
    <row r="3" spans="1:4" x14ac:dyDescent="0.3">
      <c r="A3" s="8" t="s">
        <v>33</v>
      </c>
      <c r="B3" s="8">
        <v>32</v>
      </c>
      <c r="C3" s="8">
        <v>5</v>
      </c>
      <c r="D3" s="9">
        <v>0.15625</v>
      </c>
    </row>
    <row r="4" spans="1:4" x14ac:dyDescent="0.3">
      <c r="A4" s="6" t="s">
        <v>44</v>
      </c>
      <c r="B4" s="6">
        <v>31</v>
      </c>
      <c r="C4" s="6">
        <v>4</v>
      </c>
      <c r="D4" s="7">
        <v>0.1290322580645161</v>
      </c>
    </row>
  </sheetData>
  <autoFilter ref="A1:D4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Pivot Chart</vt:lpstr>
      <vt:lpstr>Cleaned Data</vt:lpstr>
      <vt:lpstr>Model Metrics</vt:lpstr>
      <vt:lpstr>Category Analysis</vt:lpstr>
      <vt:lpstr>Return Reasons</vt:lpstr>
      <vt:lpstr>Discount Analysis</vt:lpstr>
      <vt:lpstr>Delivery Analysis</vt:lpstr>
      <vt:lpstr>Seller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harishvd2006@gmail.com</cp:lastModifiedBy>
  <dcterms:created xsi:type="dcterms:W3CDTF">2026-10-13T06:30:37Z</dcterms:created>
  <dcterms:modified xsi:type="dcterms:W3CDTF">2026-10-13T09:16:22Z</dcterms:modified>
</cp:coreProperties>
</file>